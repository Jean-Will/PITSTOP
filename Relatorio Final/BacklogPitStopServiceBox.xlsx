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43535\Desktop\"/>
    </mc:Choice>
  </mc:AlternateContent>
  <xr:revisionPtr revIDLastSave="0" documentId="13_ncr:1_{97883530-4295-42BC-9C04-6C0646592CF6}" xr6:coauthVersionLast="47" xr6:coauthVersionMax="47" xr10:uidLastSave="{00000000-0000-0000-0000-000000000000}"/>
  <bookViews>
    <workbookView xWindow="-108" yWindow="-108" windowWidth="23256" windowHeight="12456" tabRatio="779" activeTab="2" xr2:uid="{00000000-000D-0000-FFFF-FFFF00000000}"/>
  </bookViews>
  <sheets>
    <sheet name="1 - Definições Gerais" sheetId="1" r:id="rId1"/>
    <sheet name="2- User Stories" sheetId="2" r:id="rId2"/>
    <sheet name="3 -Backlog do Produto" sheetId="3" r:id="rId3"/>
    <sheet name="4- Sprint Planning" sheetId="4" r:id="rId4"/>
    <sheet name="5 -Sprint 1|2 01_06 a 26_06 " sheetId="5" r:id="rId5"/>
    <sheet name="6 -Retrospectiva" sheetId="6" r:id="rId6"/>
  </sheets>
  <definedNames>
    <definedName name="_xlnm._FilterDatabase" localSheetId="1" hidden="1">'2- User Stories'!$A$3:$H$17</definedName>
    <definedName name="_xlnm._FilterDatabase" localSheetId="2" hidden="1">'3 -Backlog do Produto'!$B$15:$T$35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7" i="5" l="1"/>
  <c r="K27" i="5"/>
  <c r="J27" i="5"/>
  <c r="I27" i="5"/>
  <c r="H27" i="5"/>
  <c r="G27" i="5"/>
  <c r="F27" i="5"/>
  <c r="E27" i="5"/>
  <c r="D27" i="5"/>
  <c r="C27" i="5"/>
  <c r="D49" i="3"/>
  <c r="D47" i="3"/>
</calcChain>
</file>

<file path=xl/sharedStrings.xml><?xml version="1.0" encoding="utf-8"?>
<sst xmlns="http://schemas.openxmlformats.org/spreadsheetml/2006/main" count="347" uniqueCount="240">
  <si>
    <t>Projeto</t>
  </si>
  <si>
    <t>Pit Stop Service Box – Sistema de gestão de boxes e ordens de serviço</t>
  </si>
  <si>
    <t>link do github</t>
  </si>
  <si>
    <t>https://github.com/Jean-Will/PITSTOP</t>
  </si>
  <si>
    <t xml:space="preserve">Cronograma </t>
  </si>
  <si>
    <t>28-05-2026 até 15-09-2026</t>
  </si>
  <si>
    <t>Sprint (time-box)</t>
  </si>
  <si>
    <t>2 semanas (geralmente 10 dias úteis)</t>
  </si>
  <si>
    <t>Reuniões e horários</t>
  </si>
  <si>
    <t>Sprint Planning – 1º dia às 09:30h</t>
  </si>
  <si>
    <t>Reuniões diárias – 09h às 09h15</t>
  </si>
  <si>
    <t>Sprint Review – último dia às 15h00 (participação presencial obrigatória)</t>
  </si>
  <si>
    <t>Sprint Retrospective – último dia às 11h30</t>
  </si>
  <si>
    <t>Equipe</t>
  </si>
  <si>
    <t>Nome</t>
  </si>
  <si>
    <t>Indisponibilidades</t>
  </si>
  <si>
    <t xml:space="preserve">Jean Will </t>
  </si>
  <si>
    <t xml:space="preserve">Sprints 1 e 2 - 01/06 a 26/06 
</t>
  </si>
  <si>
    <t>Roger Costa</t>
  </si>
  <si>
    <t>Sprints 3 e 4 - 29/06 a 10/07</t>
  </si>
  <si>
    <t>Sprints 5 e 6 - 13/06 a 24/07</t>
  </si>
  <si>
    <t>Jean e Roger não tiram férias juntos</t>
  </si>
  <si>
    <t>Jean Férias: 14/08 até 17/08 | 21/08 até 24/08</t>
  </si>
  <si>
    <t>Roger Férias: 31/07 até 03/08 | 7/08 até 10/08</t>
  </si>
  <si>
    <t>Lições Aprendidas</t>
  </si>
  <si>
    <t>O quê</t>
  </si>
  <si>
    <t>Quem?</t>
  </si>
  <si>
    <t>Quando?</t>
  </si>
  <si>
    <t>Prioridade</t>
  </si>
  <si>
    <t>Story Points</t>
  </si>
  <si>
    <t>Critérios de Aceitação</t>
  </si>
  <si>
    <t>Estado</t>
  </si>
  <si>
    <t>Sprint</t>
  </si>
  <si>
    <t>REF_01</t>
  </si>
  <si>
    <t>Consulta</t>
  </si>
  <si>
    <t>Como utilizador, quero ver a disponibilidade das boxes.</t>
  </si>
  <si>
    <t>Alta</t>
  </si>
  <si>
    <t>O sistema apresenta as boxes disponíveis e informa quando uma box está indisponível.</t>
  </si>
  <si>
    <t>Feito</t>
  </si>
  <si>
    <t>Sprint 1</t>
  </si>
  <si>
    <t>REF_02</t>
  </si>
  <si>
    <t>Mecânico (user)</t>
  </si>
  <si>
    <t>Como mecânico, quero manter as OS (ordens de serviço).</t>
  </si>
  <si>
    <t>Média</t>
  </si>
  <si>
    <t>O mecânico consegue visualizar, criar/editar e consultar os dados da OS.</t>
  </si>
  <si>
    <t>Sprint 2</t>
  </si>
  <si>
    <t>REF_03</t>
  </si>
  <si>
    <t>Como mecânico, quero atualizar o estado da OS durante a realização do serviço.</t>
  </si>
  <si>
    <t>O estado da OS pode ser atualizado e fica visível no sistema.</t>
  </si>
  <si>
    <t>Sprint 3</t>
  </si>
  <si>
    <t>REF_04</t>
  </si>
  <si>
    <t>Rececionista (user)</t>
  </si>
  <si>
    <t>Como rececionista, quero consultar o estado das boxes.</t>
  </si>
  <si>
    <t>O rececionista consegue visualizar o estado atual de cada box.</t>
  </si>
  <si>
    <t>Sprint 4</t>
  </si>
  <si>
    <t>REF_05</t>
  </si>
  <si>
    <t>Como rececionista, quero agendar previamente um serviço para uma box disponível.</t>
  </si>
  <si>
    <t>É possível selecionar uma box disponível e registar o agendamento do serviço.</t>
  </si>
  <si>
    <t>Sprint 5</t>
  </si>
  <si>
    <t>REF_06</t>
  </si>
  <si>
    <t>Cliente</t>
  </si>
  <si>
    <t>Como cliente, quero acompanhar a disponibilidade e o estado do serviço do meu veículo.</t>
  </si>
  <si>
    <t>Baixa</t>
  </si>
  <si>
    <t>O cliente consegue consultar a disponibilidade relevante e o estado do serviço do seu veículo.</t>
  </si>
  <si>
    <t>Sprint 6</t>
  </si>
  <si>
    <t>Podem seguir estas orientações:</t>
  </si>
  <si>
    <t>1 ponto – Muito fácil, faz-se rapidamente.</t>
  </si>
  <si>
    <t>2 pontos – Fácil, poucas alterações.</t>
  </si>
  <si>
    <t>3 pontos – Pequena funcionalidade.</t>
  </si>
  <si>
    <t>5 pontos – Funcionalidade de complexidade média.</t>
  </si>
  <si>
    <t>8 pontos – Funcionalidade complexa, envolve várias partes do sistema.</t>
  </si>
  <si>
    <t>13 pontos – Muito complexa ou com muitas incertezas. Se possível, deve ser dividida em User Stories mais pequenas.</t>
  </si>
  <si>
    <t>Visão do Produto</t>
  </si>
  <si>
    <t>O Pit Stop Service Box é um sistema de apoio à gestão de oficinas mecânicas, permitindo controlar boxes, ordens de serviço e o acompanhamento dos trabalhos.</t>
  </si>
  <si>
    <t>Diferentemente</t>
  </si>
  <si>
    <t>Diferentemente de processos manuais e pouco organizados, o produto centraliza a informação sobre boxes e serviços, reduzindo a dificuldade de saber onde e quando um serviço pode ser realizado.</t>
  </si>
  <si>
    <t>O Nosso Produto</t>
  </si>
  <si>
    <t>O nosso produto permite que clientes, rececionistas e mecânicos consultem a disponibilidade das boxes, acompanhem ordens de serviço e atualizem o estado dos trabalhos.</t>
  </si>
  <si>
    <t>Backlog do Produto</t>
  </si>
  <si>
    <t>Prioridade (ou BV)</t>
  </si>
  <si>
    <t>Item do Backlog</t>
  </si>
  <si>
    <t>REF_01 – Consulta da disponibilidade das boxes</t>
  </si>
  <si>
    <t>REF_02 – Manutenção das ordens de serviço</t>
  </si>
  <si>
    <t>REF_03 – Atualização do estado da OS</t>
  </si>
  <si>
    <t>REF_04 – Consulta do estado das boxes</t>
  </si>
  <si>
    <t>REF_05 – Agendamento de serviço para box disponível</t>
  </si>
  <si>
    <t>REF_06 – Acompanhamento do serviço pelo cliente</t>
  </si>
  <si>
    <t>Definição de Preparado do Item</t>
  </si>
  <si>
    <t>Definição de Pronto do Item</t>
  </si>
  <si>
    <t>Compreendido por toda a equipa; requisitos e critérios de aceitação definidos; dependências identificadas; esforço estimado.</t>
  </si>
  <si>
    <t>Implementado e revisto; testes realizados; testes exploratórios concluídos.</t>
  </si>
  <si>
    <t>Estimativa inicial em horas registada no Sprint Planning.</t>
  </si>
  <si>
    <t>Critérios de aceitação validados manualmente.</t>
  </si>
  <si>
    <t>Código e aplicação preparados para deploy em homologação e, após validação, produção.</t>
  </si>
  <si>
    <t>Acompanhamento do Projeto</t>
  </si>
  <si>
    <t>Total de Pontos</t>
  </si>
  <si>
    <t>Pontos Resolvidos</t>
  </si>
  <si>
    <t>Ideal</t>
  </si>
  <si>
    <t>Sprint Planning</t>
  </si>
  <si>
    <t>Esforço (hs)</t>
  </si>
  <si>
    <t>Dúvidas</t>
  </si>
  <si>
    <t>Responsavel</t>
  </si>
  <si>
    <t>Jean</t>
  </si>
  <si>
    <t>Levantamento dos requisitos da REF_01</t>
  </si>
  <si>
    <t>Confirmar regras de disponibilidade</t>
  </si>
  <si>
    <t>Modelação dos dados de boxes</t>
  </si>
  <si>
    <t>Definir estados e estrutura de dados</t>
  </si>
  <si>
    <t>Implementação da consulta de disponibilidade</t>
  </si>
  <si>
    <t>Validar integração com a base de dados</t>
  </si>
  <si>
    <t>Interface de consulta das boxes</t>
  </si>
  <si>
    <t>Definir mensagens de indisponibilidade</t>
  </si>
  <si>
    <t>Testes da REF_01</t>
  </si>
  <si>
    <t>Validar box disponível/indisponível</t>
  </si>
  <si>
    <t>Documentação e revisão</t>
  </si>
  <si>
    <t>Rever critérios de aceitação</t>
  </si>
  <si>
    <t>Correções e integração</t>
  </si>
  <si>
    <t>Resolver erros dos testes</t>
  </si>
  <si>
    <t>Preparação da Sprint Review</t>
  </si>
  <si>
    <t>Selecionar cenário para demonstração</t>
  </si>
  <si>
    <t>Retrospectiva e melhorias</t>
  </si>
  <si>
    <t>Registar ações da sprint</t>
  </si>
  <si>
    <t>Deploy</t>
  </si>
  <si>
    <t>Deploy em Homologação - Banco (SCMBD) e aplicação</t>
  </si>
  <si>
    <t>Deploy em Produção - Banco (SCMBD) e aplicação</t>
  </si>
  <si>
    <t>Feedback Sprint 1</t>
  </si>
  <si>
    <t>Levantamento e refinamento da REF_02</t>
  </si>
  <si>
    <t>Definir campos obrigatórios da OS</t>
  </si>
  <si>
    <t>Roger</t>
  </si>
  <si>
    <t>Modelação da Ordem de Serviço</t>
  </si>
  <si>
    <t>Validar relacionamentos</t>
  </si>
  <si>
    <t>Implementação de criação/edição da OS</t>
  </si>
  <si>
    <t>Definir validações</t>
  </si>
  <si>
    <t>Consulta das OS pelo mecânico</t>
  </si>
  <si>
    <t>Filtragem e identificação</t>
  </si>
  <si>
    <t>Testes e correções da REF_02</t>
  </si>
  <si>
    <t>Validar fluxos principais</t>
  </si>
  <si>
    <t>Documentação e preparação da review</t>
  </si>
  <si>
    <t>Atualizar documentação</t>
  </si>
  <si>
    <t>Validar checklist</t>
  </si>
  <si>
    <t>Aplicar feedback da Sprint 1</t>
  </si>
  <si>
    <t>Incorporar melhorias</t>
  </si>
  <si>
    <t>Feedback Sprint 2</t>
  </si>
  <si>
    <t>Refinamento da REF_03</t>
  </si>
  <si>
    <t>Definir estados possíveis</t>
  </si>
  <si>
    <t>Implementação da atualização do estado da OS</t>
  </si>
  <si>
    <t>Garantir persistência</t>
  </si>
  <si>
    <t>Atualização da interface da OS</t>
  </si>
  <si>
    <t>Apresentar estado atual</t>
  </si>
  <si>
    <t>Testes da REF_03</t>
  </si>
  <si>
    <t>Testar transições de estado</t>
  </si>
  <si>
    <t>Corrigir inconsistências</t>
  </si>
  <si>
    <t>Documentação</t>
  </si>
  <si>
    <t>Registar fluxo da OS</t>
  </si>
  <si>
    <t>Preparar demonstração</t>
  </si>
  <si>
    <t>Retrospectiva</t>
  </si>
  <si>
    <t>Registar lições aprendidas</t>
  </si>
  <si>
    <t>Feedback Sprint 3</t>
  </si>
  <si>
    <t>Refinamento da REF_04</t>
  </si>
  <si>
    <t>Definir estados visíveis</t>
  </si>
  <si>
    <t>Implementação da consulta do estado das boxes</t>
  </si>
  <si>
    <t>Validar estados e permissões</t>
  </si>
  <si>
    <t>Interface para rececionista</t>
  </si>
  <si>
    <t>Apresentar informação de forma simples</t>
  </si>
  <si>
    <t>Integração com dados existentes</t>
  </si>
  <si>
    <t>Garantir consistência</t>
  </si>
  <si>
    <t>Testes funcionais</t>
  </si>
  <si>
    <t>Validar cenários de receção</t>
  </si>
  <si>
    <t>Correções</t>
  </si>
  <si>
    <t>Tratar erros identificados</t>
  </si>
  <si>
    <t>Atualizar guia funcional</t>
  </si>
  <si>
    <t>Preparação da Review</t>
  </si>
  <si>
    <t>Registar ações</t>
  </si>
  <si>
    <t>Meta da Sprint</t>
  </si>
  <si>
    <t>Ao final da primeira sprint, possibilitaremos ao utilizador consultar a disponibilidade das boxes da oficina, identificando rapidamente quais estão livres e quais estão ocupadas.</t>
  </si>
  <si>
    <t>ATENDIDO</t>
  </si>
  <si>
    <t>Observação:</t>
  </si>
  <si>
    <t>A REF_01 foi implementada e validada com cenários de box disponível e indisponível. O feedback será usado nas próximas sprints.</t>
  </si>
  <si>
    <t>Itens do Backlog do Produto Selecionados</t>
  </si>
  <si>
    <t>Levantamento/modelação das regras de disponibilidade</t>
  </si>
  <si>
    <t>Implementação da consulta e interface</t>
  </si>
  <si>
    <t>Testes, correções e documentação</t>
  </si>
  <si>
    <t>Acompanhamento - Sprint (2 semanas)</t>
  </si>
  <si>
    <t>Dia</t>
  </si>
  <si>
    <t>Seg</t>
  </si>
  <si>
    <t>Ter</t>
  </si>
  <si>
    <t>Qua</t>
  </si>
  <si>
    <t>Qui</t>
  </si>
  <si>
    <t>Sex</t>
  </si>
  <si>
    <t>Total de Tarefas</t>
  </si>
  <si>
    <t>Resolvidas</t>
  </si>
  <si>
    <t>Sem indisponibilidades adicionais consideradas.</t>
  </si>
  <si>
    <t>Dia não útil</t>
  </si>
  <si>
    <t>Indisponibilidades do Time na Sprint</t>
  </si>
  <si>
    <t>Sem indisponibilidades previstas na Sprint 1</t>
  </si>
  <si>
    <t>Review - Feedback do cliente</t>
  </si>
  <si>
    <t>Feedback positivo sobre a consulta das boxes. Manter mensagens claras quando a box estiver indisponível e evoluir para agendamento e acompanhamento do serviço.</t>
  </si>
  <si>
    <t>#</t>
  </si>
  <si>
    <t>O que foi bem?</t>
  </si>
  <si>
    <t>O que pode melhorar?</t>
  </si>
  <si>
    <t>Implementação da consulta de disponibilidade e validação dos principais cenários.</t>
  </si>
  <si>
    <t>Algumas tarefas poderiam ter sido decompostas em atividades menores.</t>
  </si>
  <si>
    <t>Boa colaboração e revisão da funcionalidade antes da review.</t>
  </si>
  <si>
    <t>Melhorar a estimativa de esforço de integração.</t>
  </si>
  <si>
    <t>Critérios de aceitação ajudaram a validar o resultado.</t>
  </si>
  <si>
    <t>Antecipar testes para evitar concentração no final.</t>
  </si>
  <si>
    <t>Aplicação dos conhecimentos adquiridos no projeto.</t>
  </si>
  <si>
    <t>Simplificar e clarificar a definição das tarefas.</t>
  </si>
  <si>
    <t>Organização das tarefas e acompanhamento do trabalho.</t>
  </si>
  <si>
    <t>Comunicação de erros pendentes pode ser mais rápida.</t>
  </si>
  <si>
    <t>Revisão da implementação da OS.</t>
  </si>
  <si>
    <t>Reservar tempo explícito para testes de integração.</t>
  </si>
  <si>
    <t>Maior clareza sobre o fluxo das ordens de serviço.</t>
  </si>
  <si>
    <t>Atualizar a documentação durante o desenvolvimento.</t>
  </si>
  <si>
    <t>Comunicação diária rápida e objetiva.</t>
  </si>
  <si>
    <t>Evitar deixar testes para o final.</t>
  </si>
  <si>
    <t>Fluxo de atualização da OS ficou mais claro.</t>
  </si>
  <si>
    <t>Criar casos de teste antes da implementação.</t>
  </si>
  <si>
    <t>Correções foram incorporadas durante a sprint.</t>
  </si>
  <si>
    <t>Melhorar a estimativa das tarefas de integração.</t>
  </si>
  <si>
    <t>Review facilitou a recolha de feedback.</t>
  </si>
  <si>
    <t>Registar decisões técnicas no momento em que são tomadas.</t>
  </si>
  <si>
    <t>Plano de Ação</t>
  </si>
  <si>
    <t>Criar um repositório central da documentação</t>
  </si>
  <si>
    <t>Nos 2 primeiros dias da sprint</t>
  </si>
  <si>
    <t>Adicionar os casos de teste antes da implementação</t>
  </si>
  <si>
    <t>Primeiros 2 dias da sprint</t>
  </si>
  <si>
    <t>Definir etiqueta 'Urgente' para erros críticos</t>
  </si>
  <si>
    <t>Após a deteção do erro</t>
  </si>
  <si>
    <t>Reservar tempo de testes no planeamento</t>
  </si>
  <si>
    <t>No Sprint Planning</t>
  </si>
  <si>
    <t>Manter a reunião diária focada</t>
  </si>
  <si>
    <t>Jean/Roger</t>
  </si>
  <si>
    <t>Todas as manhas a mesma hora</t>
  </si>
  <si>
    <t>Manter a reunião diária focada e objetiva</t>
  </si>
  <si>
    <t>Todas as manhãs à mesma hora</t>
  </si>
  <si>
    <t>Registar decisões técnicas e dúvidas no backlog</t>
  </si>
  <si>
    <t>Durante toda a sprint</t>
  </si>
  <si>
    <t>Rever o estado das tarefas antes da Review</t>
  </si>
  <si>
    <t>Último dia da sprint</t>
  </si>
  <si>
    <t xml:space="preserve">ATENDIDO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</si>
</sst>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EEECE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EEECE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Symbol"/>
      <family val="1"/>
      <charset val="2"/>
    </font>
    <font>
      <b/>
      <sz val="12"/>
      <color rgb="FF000000"/>
      <name val="Calibri"/>
      <charset val="1"/>
    </font>
    <font>
      <sz val="11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3" fillId="0" borderId="0"/>
    <xf numFmtId="0" fontId="15" fillId="4" borderId="0"/>
    <xf numFmtId="9" fontId="18" fillId="0" borderId="0"/>
    <xf numFmtId="0" fontId="20" fillId="0" borderId="0"/>
  </cellStyleXfs>
  <cellXfs count="2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7" xfId="0" applyFont="1" applyBorder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2" fillId="3" borderId="7" xfId="0" quotePrefix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7" xfId="0" quotePrefix="1" applyBorder="1"/>
    <xf numFmtId="0" fontId="1" fillId="0" borderId="0" xfId="0" applyFont="1"/>
    <xf numFmtId="0" fontId="2" fillId="0" borderId="2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0" fillId="0" borderId="26" xfId="0" applyBorder="1"/>
    <xf numFmtId="0" fontId="0" fillId="0" borderId="28" xfId="0" applyBorder="1"/>
    <xf numFmtId="0" fontId="0" fillId="0" borderId="30" xfId="0" applyBorder="1"/>
    <xf numFmtId="0" fontId="0" fillId="0" borderId="8" xfId="0" applyBorder="1"/>
    <xf numFmtId="0" fontId="0" fillId="0" borderId="31" xfId="0" applyBorder="1"/>
    <xf numFmtId="0" fontId="16" fillId="4" borderId="14" xfId="2" applyFont="1" applyBorder="1"/>
    <xf numFmtId="0" fontId="16" fillId="4" borderId="32" xfId="2" applyFont="1" applyBorder="1"/>
    <xf numFmtId="0" fontId="16" fillId="4" borderId="15" xfId="2" applyFon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2" fillId="0" borderId="7" xfId="0" quotePrefix="1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16" fillId="0" borderId="0" xfId="0" applyFont="1"/>
    <xf numFmtId="0" fontId="14" fillId="0" borderId="8" xfId="0" applyFont="1" applyBorder="1"/>
    <xf numFmtId="0" fontId="14" fillId="0" borderId="7" xfId="0" applyFont="1" applyBorder="1"/>
    <xf numFmtId="0" fontId="14" fillId="0" borderId="34" xfId="0" applyFont="1" applyBorder="1"/>
    <xf numFmtId="0" fontId="0" fillId="0" borderId="36" xfId="0" applyBorder="1"/>
    <xf numFmtId="0" fontId="16" fillId="4" borderId="37" xfId="2" applyFont="1" applyBorder="1"/>
    <xf numFmtId="0" fontId="16" fillId="4" borderId="11" xfId="2" applyFont="1" applyBorder="1"/>
    <xf numFmtId="17" fontId="0" fillId="0" borderId="0" xfId="0" applyNumberFormat="1"/>
    <xf numFmtId="9" fontId="0" fillId="0" borderId="0" xfId="3" applyFont="1"/>
    <xf numFmtId="164" fontId="0" fillId="0" borderId="0" xfId="0" applyNumberFormat="1"/>
    <xf numFmtId="1" fontId="0" fillId="0" borderId="0" xfId="0" applyNumberFormat="1"/>
    <xf numFmtId="164" fontId="0" fillId="0" borderId="4" xfId="0" applyNumberFormat="1" applyBorder="1"/>
    <xf numFmtId="0" fontId="14" fillId="0" borderId="36" xfId="0" applyFont="1" applyBorder="1"/>
    <xf numFmtId="0" fontId="0" fillId="0" borderId="25" xfId="0" applyBorder="1"/>
    <xf numFmtId="0" fontId="0" fillId="0" borderId="42" xfId="0" applyBorder="1"/>
    <xf numFmtId="0" fontId="0" fillId="0" borderId="43" xfId="0" applyBorder="1"/>
    <xf numFmtId="0" fontId="0" fillId="0" borderId="27" xfId="0" applyBorder="1"/>
    <xf numFmtId="0" fontId="0" fillId="0" borderId="22" xfId="0" applyBorder="1"/>
    <xf numFmtId="0" fontId="14" fillId="0" borderId="22" xfId="0" applyFont="1" applyBorder="1"/>
    <xf numFmtId="0" fontId="0" fillId="0" borderId="29" xfId="0" applyBorder="1"/>
    <xf numFmtId="0" fontId="0" fillId="5" borderId="0" xfId="0" applyFill="1"/>
    <xf numFmtId="0" fontId="14" fillId="0" borderId="45" xfId="0" applyFont="1" applyBorder="1"/>
    <xf numFmtId="0" fontId="0" fillId="5" borderId="26" xfId="0" applyFill="1" applyBorder="1" applyAlignment="1">
      <alignment horizontal="center"/>
    </xf>
    <xf numFmtId="16" fontId="19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2" xfId="0" applyBorder="1"/>
    <xf numFmtId="0" fontId="0" fillId="0" borderId="55" xfId="0" applyBorder="1"/>
    <xf numFmtId="0" fontId="0" fillId="0" borderId="56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3" xfId="0" applyBorder="1" applyAlignment="1">
      <alignment horizontal="left" vertical="center" indent="1"/>
    </xf>
    <xf numFmtId="0" fontId="2" fillId="0" borderId="53" xfId="0" applyFont="1" applyBorder="1" applyAlignment="1">
      <alignment horizontal="left" vertical="center" indent="1"/>
    </xf>
    <xf numFmtId="0" fontId="2" fillId="0" borderId="54" xfId="0" applyFont="1" applyBorder="1" applyAlignment="1">
      <alignment horizontal="left" vertical="center" indent="1"/>
    </xf>
    <xf numFmtId="0" fontId="21" fillId="7" borderId="48" xfId="4" applyFont="1" applyFill="1" applyBorder="1" applyAlignment="1">
      <alignment horizontal="center" vertical="center" wrapText="1"/>
    </xf>
    <xf numFmtId="0" fontId="22" fillId="7" borderId="48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53" xfId="0" applyFont="1" applyBorder="1"/>
    <xf numFmtId="0" fontId="23" fillId="0" borderId="0" xfId="0" applyFont="1"/>
    <xf numFmtId="0" fontId="23" fillId="0" borderId="52" xfId="0" applyFont="1" applyBorder="1"/>
    <xf numFmtId="0" fontId="23" fillId="0" borderId="54" xfId="0" applyFont="1" applyBorder="1"/>
    <xf numFmtId="0" fontId="23" fillId="0" borderId="55" xfId="0" applyFont="1" applyBorder="1"/>
    <xf numFmtId="0" fontId="23" fillId="0" borderId="56" xfId="0" applyFont="1" applyBorder="1"/>
    <xf numFmtId="0" fontId="0" fillId="0" borderId="45" xfId="0" applyBorder="1"/>
    <xf numFmtId="0" fontId="11" fillId="2" borderId="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/>
    </xf>
    <xf numFmtId="0" fontId="23" fillId="0" borderId="53" xfId="0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/>
    </xf>
    <xf numFmtId="0" fontId="0" fillId="3" borderId="0" xfId="0" applyFill="1"/>
    <xf numFmtId="0" fontId="24" fillId="5" borderId="7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4" fillId="5" borderId="31" xfId="0" applyFont="1" applyFill="1" applyBorder="1" applyAlignment="1">
      <alignment horizontal="center" vertical="center" wrapText="1"/>
    </xf>
    <xf numFmtId="0" fontId="24" fillId="5" borderId="2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4" fillId="5" borderId="42" xfId="0" applyFont="1" applyFill="1" applyBorder="1" applyAlignment="1">
      <alignment horizontal="center" vertical="center" wrapText="1"/>
    </xf>
    <xf numFmtId="0" fontId="24" fillId="5" borderId="43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16" fillId="4" borderId="32" xfId="2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16" fillId="4" borderId="14" xfId="2" applyFont="1" applyBorder="1" applyAlignment="1">
      <alignment horizontal="center"/>
    </xf>
    <xf numFmtId="0" fontId="16" fillId="4" borderId="15" xfId="2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6" xfId="0" applyBorder="1" applyAlignment="1">
      <alignment horizontal="center"/>
    </xf>
    <xf numFmtId="0" fontId="16" fillId="4" borderId="11" xfId="2" applyFont="1" applyBorder="1" applyAlignment="1">
      <alignment horizontal="center"/>
    </xf>
    <xf numFmtId="0" fontId="16" fillId="4" borderId="37" xfId="2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6" fillId="6" borderId="37" xfId="2" applyFont="1" applyFill="1" applyBorder="1" applyAlignment="1">
      <alignment horizontal="center"/>
    </xf>
    <xf numFmtId="0" fontId="16" fillId="6" borderId="32" xfId="2" applyFont="1" applyFill="1" applyBorder="1" applyAlignment="1">
      <alignment horizontal="center"/>
    </xf>
    <xf numFmtId="0" fontId="16" fillId="6" borderId="15" xfId="2" applyFont="1" applyFill="1" applyBorder="1" applyAlignment="1">
      <alignment horizontal="center"/>
    </xf>
    <xf numFmtId="0" fontId="24" fillId="5" borderId="26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7" xfId="0" applyBorder="1" applyAlignment="1">
      <alignment horizontal="center" wrapText="1"/>
    </xf>
    <xf numFmtId="0" fontId="0" fillId="0" borderId="10" xfId="0" applyBorder="1"/>
    <xf numFmtId="0" fontId="13" fillId="0" borderId="8" xfId="1" applyBorder="1" applyAlignment="1">
      <alignment horizontal="center"/>
    </xf>
    <xf numFmtId="0" fontId="0" fillId="0" borderId="44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8" fillId="2" borderId="57" xfId="0" applyFont="1" applyFill="1" applyBorder="1" applyAlignment="1">
      <alignment horizontal="center" vertical="center" wrapText="1"/>
    </xf>
    <xf numFmtId="0" fontId="0" fillId="0" borderId="50" xfId="0" applyBorder="1"/>
    <xf numFmtId="0" fontId="0" fillId="0" borderId="51" xfId="0" applyBorder="1"/>
    <xf numFmtId="0" fontId="1" fillId="0" borderId="3" xfId="0" applyFont="1" applyBorder="1" applyAlignment="1">
      <alignment horizontal="left" wrapText="1"/>
    </xf>
    <xf numFmtId="0" fontId="0" fillId="0" borderId="0" xfId="0"/>
    <xf numFmtId="0" fontId="0" fillId="0" borderId="3" xfId="0" applyBorder="1"/>
    <xf numFmtId="0" fontId="8" fillId="2" borderId="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5" borderId="28" xfId="0" applyFill="1" applyBorder="1" applyAlignment="1">
      <alignment horizontal="left"/>
    </xf>
    <xf numFmtId="0" fontId="0" fillId="0" borderId="9" xfId="0" applyBorder="1"/>
    <xf numFmtId="0" fontId="0" fillId="0" borderId="21" xfId="0" applyBorder="1"/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14" fillId="3" borderId="30" xfId="0" applyFont="1" applyFill="1" applyBorder="1" applyAlignment="1">
      <alignment horizontal="left" wrapText="1"/>
    </xf>
    <xf numFmtId="0" fontId="0" fillId="0" borderId="62" xfId="0" applyBorder="1"/>
    <xf numFmtId="0" fontId="1" fillId="0" borderId="3" xfId="0" applyFont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8" fillId="2" borderId="14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left"/>
    </xf>
    <xf numFmtId="0" fontId="0" fillId="0" borderId="16" xfId="0" applyBorder="1"/>
    <xf numFmtId="0" fontId="0" fillId="0" borderId="20" xfId="0" applyBorder="1"/>
    <xf numFmtId="0" fontId="14" fillId="3" borderId="60" xfId="0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14" fillId="3" borderId="27" xfId="0" applyFont="1" applyFill="1" applyBorder="1" applyAlignment="1">
      <alignment horizontal="left"/>
    </xf>
    <xf numFmtId="0" fontId="0" fillId="0" borderId="61" xfId="0" applyBorder="1"/>
    <xf numFmtId="0" fontId="14" fillId="3" borderId="26" xfId="0" applyFont="1" applyFill="1" applyBorder="1" applyAlignment="1">
      <alignment horizontal="left"/>
    </xf>
    <xf numFmtId="0" fontId="14" fillId="3" borderId="58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2" fillId="0" borderId="42" xfId="0" applyFont="1" applyBorder="1" applyAlignment="1">
      <alignment horizontal="center"/>
    </xf>
    <xf numFmtId="0" fontId="0" fillId="0" borderId="17" xfId="0" applyBorder="1"/>
    <xf numFmtId="0" fontId="1" fillId="0" borderId="3" xfId="0" applyFont="1" applyBorder="1" applyAlignment="1">
      <alignment horizontal="left" vertical="center" wrapText="1"/>
    </xf>
    <xf numFmtId="0" fontId="14" fillId="3" borderId="59" xfId="0" applyFont="1" applyFill="1" applyBorder="1" applyAlignment="1">
      <alignment horizontal="left"/>
    </xf>
    <xf numFmtId="0" fontId="0" fillId="0" borderId="22" xfId="0" applyBorder="1" applyAlignment="1">
      <alignment horizontal="center"/>
    </xf>
    <xf numFmtId="0" fontId="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42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3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44" xfId="0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4" fillId="5" borderId="63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24" fillId="5" borderId="42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10" fillId="5" borderId="22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2" fillId="5" borderId="11" xfId="0" applyFont="1" applyFill="1" applyBorder="1" applyAlignment="1">
      <alignment horizontal="center" vertical="center" textRotation="180"/>
    </xf>
    <xf numFmtId="0" fontId="0" fillId="0" borderId="2" xfId="0" applyBorder="1"/>
    <xf numFmtId="0" fontId="0" fillId="0" borderId="4" xfId="0" applyBorder="1"/>
    <xf numFmtId="0" fontId="24" fillId="5" borderId="22" xfId="0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" fillId="5" borderId="1" xfId="0" applyFont="1" applyFill="1" applyBorder="1" applyAlignment="1">
      <alignment horizontal="center" vertical="center" textRotation="180"/>
    </xf>
    <xf numFmtId="0" fontId="0" fillId="0" borderId="38" xfId="0" applyBorder="1"/>
    <xf numFmtId="0" fontId="0" fillId="0" borderId="39" xfId="0" applyBorder="1"/>
    <xf numFmtId="0" fontId="26" fillId="5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</cellXfs>
  <cellStyles count="5">
    <cellStyle name="60% - Cor1" xfId="2" builtinId="32"/>
    <cellStyle name="Hiperligação" xfId="1" builtinId="8"/>
    <cellStyle name="Normal" xfId="0" builtinId="0"/>
    <cellStyle name="Normal_2-User Stories" xfId="4" xr:uid="{00000000-0005-0000-0000-000004000000}"/>
    <cellStyle name="Percentagem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Gráfico de Burnup - Projeto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'3 -Backlog do Produto'!$B$47</c:f>
              <c:strCache>
                <c:ptCount val="1"/>
                <c:pt idx="0">
                  <c:v>Total de Pontos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'3 -Backlog do Produto'!$C$46:$H$46</c:f>
              <c:numCache>
                <c:formatCode>d\-mmm</c:formatCode>
                <c:ptCount val="6"/>
                <c:pt idx="0">
                  <c:v>46174</c:v>
                </c:pt>
                <c:pt idx="1">
                  <c:v>46188</c:v>
                </c:pt>
                <c:pt idx="2">
                  <c:v>46202</c:v>
                </c:pt>
                <c:pt idx="3">
                  <c:v>46216</c:v>
                </c:pt>
                <c:pt idx="4">
                  <c:v>46200</c:v>
                </c:pt>
                <c:pt idx="5">
                  <c:v>46244</c:v>
                </c:pt>
              </c:numCache>
            </c:numRef>
          </c:cat>
          <c:val>
            <c:numRef>
              <c:f>'3 -Backlog do Produto'!$C$47:$H$47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A-4C2F-A8A9-D0CB1CFFCE0E}"/>
            </c:ext>
          </c:extLst>
        </c:ser>
        <c:ser>
          <c:idx val="2"/>
          <c:order val="1"/>
          <c:tx>
            <c:strRef>
              <c:f>'3 -Backlog do Produto'!$B$49</c:f>
              <c:strCache>
                <c:ptCount val="1"/>
                <c:pt idx="0">
                  <c:v>Ideal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'3 -Backlog do Produto'!$C$46:$H$46</c:f>
              <c:numCache>
                <c:formatCode>d\-mmm</c:formatCode>
                <c:ptCount val="6"/>
                <c:pt idx="0">
                  <c:v>46174</c:v>
                </c:pt>
                <c:pt idx="1">
                  <c:v>46188</c:v>
                </c:pt>
                <c:pt idx="2">
                  <c:v>46202</c:v>
                </c:pt>
                <c:pt idx="3">
                  <c:v>46216</c:v>
                </c:pt>
                <c:pt idx="4">
                  <c:v>46200</c:v>
                </c:pt>
                <c:pt idx="5">
                  <c:v>46244</c:v>
                </c:pt>
              </c:numCache>
            </c:numRef>
          </c:cat>
          <c:val>
            <c:numRef>
              <c:f>'3 -Backlog do Produto'!$C$49:$H$49</c:f>
              <c:numCache>
                <c:formatCode>General</c:formatCode>
                <c:ptCount val="6"/>
                <c:pt idx="0">
                  <c:v>8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A-4C2F-A8A9-D0CB1CFFCE0E}"/>
            </c:ext>
          </c:extLst>
        </c:ser>
        <c:ser>
          <c:idx val="3"/>
          <c:order val="2"/>
          <c:tx>
            <c:strRef>
              <c:f>'3 -Backlog do Produto'!$B$48</c:f>
              <c:strCache>
                <c:ptCount val="1"/>
                <c:pt idx="0">
                  <c:v>Pontos Resolvidos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'3 -Backlog do Produto'!$C$46:$H$46</c:f>
              <c:numCache>
                <c:formatCode>d\-mmm</c:formatCode>
                <c:ptCount val="6"/>
                <c:pt idx="0">
                  <c:v>46174</c:v>
                </c:pt>
                <c:pt idx="1">
                  <c:v>46188</c:v>
                </c:pt>
                <c:pt idx="2">
                  <c:v>46202</c:v>
                </c:pt>
                <c:pt idx="3">
                  <c:v>46216</c:v>
                </c:pt>
                <c:pt idx="4">
                  <c:v>46200</c:v>
                </c:pt>
                <c:pt idx="5">
                  <c:v>46244</c:v>
                </c:pt>
              </c:numCache>
            </c:numRef>
          </c:cat>
          <c:val>
            <c:numRef>
              <c:f>'3 -Backlog do Produto'!$C$48:$H$48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2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9A-4C2F-A8A9-D0CB1CFFC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92992"/>
        <c:axId val="61094912"/>
      </c:lineChart>
      <c:catAx>
        <c:axId val="61092992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crossAx val="61094912"/>
        <c:crosses val="autoZero"/>
        <c:auto val="0"/>
        <c:lblAlgn val="ctr"/>
        <c:lblOffset val="100"/>
        <c:noMultiLvlLbl val="0"/>
      </c:catAx>
      <c:valAx>
        <c:axId val="61094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1092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Gráfico de Burnup (Sprint)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'5 -Sprint 1|2 01_06 a 26_06 '!$B$25</c:f>
              <c:strCache>
                <c:ptCount val="1"/>
                <c:pt idx="0">
                  <c:v>Total de Tarefas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'5 -Sprint 1|2 01_06 a 26_06 '!$C$25:$L$25</c:f>
              <c:numCache>
                <c:formatCode>General</c:formatCode>
                <c:ptCount val="10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11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3-4400-B836-2B895B5F571C}"/>
            </c:ext>
          </c:extLst>
        </c:ser>
        <c:ser>
          <c:idx val="2"/>
          <c:order val="1"/>
          <c:tx>
            <c:strRef>
              <c:f>'5 -Sprint 1|2 01_06 a 26_06 '!$B$26</c:f>
              <c:strCache>
                <c:ptCount val="1"/>
                <c:pt idx="0">
                  <c:v>Resolvidas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'5 -Sprint 1|2 01_06 a 26_06 '!$C$26:$L$26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3-4400-B836-2B895B5F571C}"/>
            </c:ext>
          </c:extLst>
        </c:ser>
        <c:ser>
          <c:idx val="3"/>
          <c:order val="2"/>
          <c:tx>
            <c:strRef>
              <c:f>'5 -Sprint 1|2 01_06 a 26_06 '!$B$27</c:f>
              <c:strCache>
                <c:ptCount val="1"/>
                <c:pt idx="0">
                  <c:v>Ideal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'5 -Sprint 1|2 01_06 a 26_06 '!$C$27:$L$27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3-4400-B836-2B895B5F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81408"/>
        <c:axId val="61283328"/>
      </c:lineChart>
      <c:catAx>
        <c:axId val="61281408"/>
        <c:scaling>
          <c:orientation val="minMax"/>
        </c:scaling>
        <c:delete val="0"/>
        <c:axPos val="b"/>
        <c:majorTickMark val="none"/>
        <c:minorTickMark val="none"/>
        <c:tickLblPos val="nextTo"/>
        <c:crossAx val="61283328"/>
        <c:crosses val="autoZero"/>
        <c:auto val="1"/>
        <c:lblAlgn val="ctr"/>
        <c:lblOffset val="100"/>
        <c:noMultiLvlLbl val="0"/>
      </c:catAx>
      <c:valAx>
        <c:axId val="61283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Tarefas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1281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17585</xdr:colOff>
      <xdr:row>50</xdr:row>
      <xdr:rowOff>187935</xdr:rowOff>
    </xdr:from>
    <xdr:to>
      <xdr:col>17</xdr:col>
      <xdr:colOff>249115</xdr:colOff>
      <xdr:row>71</xdr:row>
      <xdr:rowOff>97449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17</xdr:row>
      <xdr:rowOff>38100</xdr:rowOff>
    </xdr:from>
    <xdr:to>
      <xdr:col>28</xdr:col>
      <xdr:colOff>152399</xdr:colOff>
      <xdr:row>37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ean-Will/PITSTO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9"/>
  <sheetViews>
    <sheetView zoomScale="90" zoomScaleNormal="90" workbookViewId="0">
      <selection activeCell="B23" sqref="B23"/>
    </sheetView>
  </sheetViews>
  <sheetFormatPr defaultRowHeight="14.4" x14ac:dyDescent="0.3"/>
  <cols>
    <col min="1" max="1" width="4.33203125" customWidth="1"/>
    <col min="2" max="2" width="51.33203125" customWidth="1"/>
    <col min="3" max="3" width="51" customWidth="1"/>
  </cols>
  <sheetData>
    <row r="1" spans="2:3" ht="15" customHeight="1" thickBot="1" x14ac:dyDescent="0.35"/>
    <row r="2" spans="2:3" ht="15" customHeight="1" thickBot="1" x14ac:dyDescent="0.35">
      <c r="B2" s="150" t="s">
        <v>0</v>
      </c>
      <c r="C2" s="151"/>
    </row>
    <row r="3" spans="2:3" x14ac:dyDescent="0.3">
      <c r="B3" s="156" t="s">
        <v>1</v>
      </c>
      <c r="C3" s="155"/>
    </row>
    <row r="4" spans="2:3" ht="15" customHeight="1" thickBot="1" x14ac:dyDescent="0.35"/>
    <row r="5" spans="2:3" ht="15" customHeight="1" thickBot="1" x14ac:dyDescent="0.35">
      <c r="B5" s="150" t="s">
        <v>2</v>
      </c>
      <c r="C5" s="151"/>
    </row>
    <row r="6" spans="2:3" x14ac:dyDescent="0.3">
      <c r="B6" s="154" t="s">
        <v>3</v>
      </c>
      <c r="C6" s="155"/>
    </row>
    <row r="7" spans="2:3" ht="15" customHeight="1" thickBot="1" x14ac:dyDescent="0.35"/>
    <row r="8" spans="2:3" ht="15" customHeight="1" thickBot="1" x14ac:dyDescent="0.35">
      <c r="B8" s="150" t="s">
        <v>4</v>
      </c>
      <c r="C8" s="151"/>
    </row>
    <row r="9" spans="2:3" x14ac:dyDescent="0.3">
      <c r="B9" s="154" t="s">
        <v>5</v>
      </c>
      <c r="C9" s="155"/>
    </row>
    <row r="10" spans="2:3" ht="15" customHeight="1" thickBot="1" x14ac:dyDescent="0.35"/>
    <row r="11" spans="2:3" ht="15" customHeight="1" thickBot="1" x14ac:dyDescent="0.35">
      <c r="B11" s="150" t="s">
        <v>6</v>
      </c>
      <c r="C11" s="151"/>
    </row>
    <row r="12" spans="2:3" x14ac:dyDescent="0.3">
      <c r="B12" s="156" t="s">
        <v>7</v>
      </c>
      <c r="C12" s="155"/>
    </row>
    <row r="13" spans="2:3" ht="15" customHeight="1" thickBot="1" x14ac:dyDescent="0.35"/>
    <row r="14" spans="2:3" ht="15" customHeight="1" thickBot="1" x14ac:dyDescent="0.35">
      <c r="B14" s="150" t="s">
        <v>8</v>
      </c>
      <c r="C14" s="151"/>
    </row>
    <row r="15" spans="2:3" x14ac:dyDescent="0.3">
      <c r="B15" s="157" t="s">
        <v>9</v>
      </c>
      <c r="C15" s="155"/>
    </row>
    <row r="16" spans="2:3" x14ac:dyDescent="0.3">
      <c r="B16" s="152" t="s">
        <v>10</v>
      </c>
      <c r="C16" s="153"/>
    </row>
    <row r="17" spans="2:3" x14ac:dyDescent="0.3">
      <c r="B17" s="152" t="s">
        <v>11</v>
      </c>
      <c r="C17" s="153"/>
    </row>
    <row r="18" spans="2:3" x14ac:dyDescent="0.3">
      <c r="B18" s="152" t="s">
        <v>12</v>
      </c>
      <c r="C18" s="153"/>
    </row>
    <row r="19" spans="2:3" ht="15" customHeight="1" thickBot="1" x14ac:dyDescent="0.35"/>
    <row r="20" spans="2:3" ht="15" customHeight="1" thickBot="1" x14ac:dyDescent="0.35">
      <c r="B20" s="150" t="s">
        <v>13</v>
      </c>
      <c r="C20" s="151"/>
    </row>
    <row r="21" spans="2:3" x14ac:dyDescent="0.3">
      <c r="B21" s="88" t="s">
        <v>14</v>
      </c>
      <c r="C21" s="88" t="s">
        <v>15</v>
      </c>
    </row>
    <row r="22" spans="2:3" ht="28.95" customHeight="1" x14ac:dyDescent="0.3">
      <c r="B22" s="42" t="s">
        <v>16</v>
      </c>
      <c r="C22" s="102" t="s">
        <v>17</v>
      </c>
    </row>
    <row r="23" spans="2:3" x14ac:dyDescent="0.3">
      <c r="B23" s="42" t="s">
        <v>18</v>
      </c>
      <c r="C23" s="102" t="s">
        <v>19</v>
      </c>
    </row>
    <row r="24" spans="2:3" x14ac:dyDescent="0.3">
      <c r="B24" s="14"/>
      <c r="C24" s="102" t="s">
        <v>20</v>
      </c>
    </row>
    <row r="25" spans="2:3" x14ac:dyDescent="0.3">
      <c r="B25" s="14"/>
      <c r="C25" s="102" t="s">
        <v>21</v>
      </c>
    </row>
    <row r="26" spans="2:3" x14ac:dyDescent="0.3">
      <c r="B26" s="9"/>
      <c r="C26" s="102" t="s">
        <v>22</v>
      </c>
    </row>
    <row r="27" spans="2:3" x14ac:dyDescent="0.3">
      <c r="B27" s="9"/>
      <c r="C27" s="40" t="s">
        <v>23</v>
      </c>
    </row>
    <row r="28" spans="2:3" x14ac:dyDescent="0.3">
      <c r="B28" s="9"/>
      <c r="C28" s="24"/>
    </row>
    <row r="29" spans="2:3" x14ac:dyDescent="0.3">
      <c r="B29" s="9"/>
      <c r="C29" s="9"/>
    </row>
  </sheetData>
  <mergeCells count="14">
    <mergeCell ref="B6:C6"/>
    <mergeCell ref="B16:C16"/>
    <mergeCell ref="B2:C2"/>
    <mergeCell ref="B15:C15"/>
    <mergeCell ref="B11:C11"/>
    <mergeCell ref="B3:C3"/>
    <mergeCell ref="B5:C5"/>
    <mergeCell ref="B20:C20"/>
    <mergeCell ref="B14:C14"/>
    <mergeCell ref="B17:C17"/>
    <mergeCell ref="B9:C9"/>
    <mergeCell ref="B8:C8"/>
    <mergeCell ref="B18:C18"/>
    <mergeCell ref="B12:C12"/>
  </mergeCells>
  <hyperlinks>
    <hyperlink ref="B6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zoomScale="70" zoomScaleNormal="70" workbookViewId="0">
      <selection activeCell="E6" sqref="E6"/>
    </sheetView>
  </sheetViews>
  <sheetFormatPr defaultRowHeight="14.4" x14ac:dyDescent="0.3"/>
  <cols>
    <col min="1" max="1" width="16.33203125" customWidth="1"/>
    <col min="2" max="2" width="21.6640625" customWidth="1"/>
    <col min="3" max="3" width="101" customWidth="1"/>
    <col min="4" max="4" width="18.33203125" customWidth="1"/>
    <col min="5" max="5" width="16.6640625" customWidth="1"/>
    <col min="6" max="6" width="47.5546875" bestFit="1" customWidth="1"/>
    <col min="7" max="7" width="14.33203125" customWidth="1"/>
    <col min="8" max="8" width="17.44140625" customWidth="1"/>
    <col min="9" max="9" width="3.33203125" customWidth="1"/>
  </cols>
  <sheetData>
    <row r="1" spans="1:26" ht="15" customHeight="1" thickBot="1" x14ac:dyDescent="0.35"/>
    <row r="2" spans="1:26" ht="18.600000000000001" customHeight="1" thickTop="1" thickBot="1" x14ac:dyDescent="0.35">
      <c r="A2" s="158" t="s">
        <v>24</v>
      </c>
      <c r="B2" s="159"/>
      <c r="C2" s="159"/>
      <c r="D2" s="159"/>
      <c r="E2" s="159"/>
      <c r="F2" s="159"/>
      <c r="G2" s="159"/>
      <c r="H2" s="160"/>
    </row>
    <row r="3" spans="1:26" ht="56.4" customHeight="1" thickTop="1" thickBot="1" x14ac:dyDescent="0.35">
      <c r="A3" s="78" t="s">
        <v>25</v>
      </c>
      <c r="B3" s="78" t="s">
        <v>26</v>
      </c>
      <c r="C3" s="78" t="s">
        <v>27</v>
      </c>
      <c r="D3" s="79" t="s">
        <v>28</v>
      </c>
      <c r="E3" s="79" t="s">
        <v>29</v>
      </c>
      <c r="F3" s="79" t="s">
        <v>30</v>
      </c>
      <c r="G3" s="79" t="s">
        <v>31</v>
      </c>
      <c r="H3" s="79" t="s">
        <v>32</v>
      </c>
      <c r="S3" s="67"/>
      <c r="T3" s="67"/>
      <c r="U3" s="67"/>
      <c r="V3" s="67"/>
      <c r="W3" s="67"/>
      <c r="X3" s="67"/>
      <c r="Y3" s="67"/>
      <c r="Z3" s="67"/>
    </row>
    <row r="4" spans="1:26" ht="15.75" customHeight="1" thickTop="1" x14ac:dyDescent="0.3">
      <c r="A4" s="93" t="s">
        <v>33</v>
      </c>
      <c r="B4" s="89" t="s">
        <v>34</v>
      </c>
      <c r="C4" s="89" t="s">
        <v>35</v>
      </c>
      <c r="D4" s="89" t="s">
        <v>36</v>
      </c>
      <c r="E4" s="89">
        <v>5</v>
      </c>
      <c r="F4" s="80" t="s">
        <v>37</v>
      </c>
      <c r="G4" s="89" t="s">
        <v>38</v>
      </c>
      <c r="H4" s="91" t="s">
        <v>39</v>
      </c>
      <c r="S4" s="68"/>
      <c r="T4" s="68"/>
      <c r="U4" s="68"/>
      <c r="V4" s="68"/>
      <c r="W4" s="68"/>
      <c r="X4" s="68"/>
      <c r="Y4" s="68"/>
      <c r="Z4" s="68"/>
    </row>
    <row r="5" spans="1:26" ht="15" customHeight="1" x14ac:dyDescent="0.3">
      <c r="A5" s="93" t="s">
        <v>40</v>
      </c>
      <c r="B5" s="89" t="s">
        <v>41</v>
      </c>
      <c r="C5" s="89" t="s">
        <v>42</v>
      </c>
      <c r="D5" s="89" t="s">
        <v>43</v>
      </c>
      <c r="E5" s="89">
        <v>8</v>
      </c>
      <c r="F5" s="89" t="s">
        <v>44</v>
      </c>
      <c r="G5" s="89" t="s">
        <v>38</v>
      </c>
      <c r="H5" s="91" t="s">
        <v>45</v>
      </c>
      <c r="S5" s="68"/>
      <c r="T5" s="68"/>
      <c r="U5" s="68"/>
      <c r="V5" s="68"/>
      <c r="W5" s="68"/>
      <c r="X5" s="68"/>
      <c r="Y5" s="68"/>
      <c r="Z5" s="68"/>
    </row>
    <row r="6" spans="1:26" ht="15.75" customHeight="1" x14ac:dyDescent="0.3">
      <c r="A6" s="93" t="s">
        <v>46</v>
      </c>
      <c r="B6" s="89" t="s">
        <v>41</v>
      </c>
      <c r="C6" s="89" t="s">
        <v>47</v>
      </c>
      <c r="D6" s="89" t="s">
        <v>36</v>
      </c>
      <c r="E6" s="89">
        <v>3</v>
      </c>
      <c r="F6" s="89" t="s">
        <v>48</v>
      </c>
      <c r="G6" s="89" t="s">
        <v>38</v>
      </c>
      <c r="H6" s="91" t="s">
        <v>49</v>
      </c>
      <c r="S6" s="68"/>
      <c r="T6" s="68"/>
      <c r="U6" s="68"/>
      <c r="V6" s="68"/>
      <c r="W6" s="68"/>
      <c r="X6" s="68"/>
      <c r="Y6" s="68"/>
      <c r="Z6" s="68"/>
    </row>
    <row r="7" spans="1:26" ht="18" customHeight="1" x14ac:dyDescent="0.35">
      <c r="A7" s="94" t="s">
        <v>50</v>
      </c>
      <c r="B7" s="90" t="s">
        <v>51</v>
      </c>
      <c r="C7" s="90" t="s">
        <v>52</v>
      </c>
      <c r="D7" s="90" t="s">
        <v>43</v>
      </c>
      <c r="E7" s="90">
        <v>4</v>
      </c>
      <c r="F7" s="90" t="s">
        <v>53</v>
      </c>
      <c r="G7" s="90" t="s">
        <v>38</v>
      </c>
      <c r="H7" s="92" t="s">
        <v>54</v>
      </c>
    </row>
    <row r="8" spans="1:26" ht="18" customHeight="1" x14ac:dyDescent="0.35">
      <c r="A8" s="94" t="s">
        <v>55</v>
      </c>
      <c r="B8" s="90" t="s">
        <v>51</v>
      </c>
      <c r="C8" s="90" t="s">
        <v>56</v>
      </c>
      <c r="D8" s="90" t="s">
        <v>36</v>
      </c>
      <c r="E8" s="90">
        <v>8</v>
      </c>
      <c r="F8" s="90" t="s">
        <v>57</v>
      </c>
      <c r="G8" s="90" t="s">
        <v>38</v>
      </c>
      <c r="H8" s="92" t="s">
        <v>58</v>
      </c>
    </row>
    <row r="9" spans="1:26" ht="17.25" customHeight="1" x14ac:dyDescent="0.35">
      <c r="A9" s="94" t="s">
        <v>59</v>
      </c>
      <c r="B9" s="90" t="s">
        <v>60</v>
      </c>
      <c r="C9" s="90" t="s">
        <v>61</v>
      </c>
      <c r="D9" s="90" t="s">
        <v>62</v>
      </c>
      <c r="E9" s="90">
        <v>2</v>
      </c>
      <c r="F9" s="82" t="s">
        <v>63</v>
      </c>
      <c r="G9" s="90" t="s">
        <v>38</v>
      </c>
      <c r="H9" s="92" t="s">
        <v>64</v>
      </c>
    </row>
    <row r="10" spans="1:26" ht="18" customHeight="1" x14ac:dyDescent="0.35">
      <c r="A10" s="81"/>
      <c r="B10" s="82"/>
      <c r="C10" s="82"/>
      <c r="D10" s="82"/>
      <c r="E10" s="82"/>
      <c r="F10" s="82"/>
      <c r="G10" s="82"/>
      <c r="H10" s="83"/>
    </row>
    <row r="11" spans="1:26" ht="18" customHeight="1" x14ac:dyDescent="0.35">
      <c r="A11" s="81"/>
      <c r="B11" s="82"/>
      <c r="C11" s="82"/>
      <c r="D11" s="82"/>
      <c r="E11" s="82"/>
      <c r="F11" s="82"/>
      <c r="G11" s="82"/>
      <c r="H11" s="83"/>
    </row>
    <row r="12" spans="1:26" ht="18" customHeight="1" x14ac:dyDescent="0.35">
      <c r="A12" s="81"/>
      <c r="B12" s="82"/>
      <c r="C12" s="82"/>
      <c r="D12" s="82"/>
      <c r="E12" s="82"/>
      <c r="F12" s="82"/>
      <c r="G12" s="82"/>
      <c r="H12" s="83"/>
    </row>
    <row r="13" spans="1:26" ht="18" customHeight="1" x14ac:dyDescent="0.35">
      <c r="A13" s="81"/>
      <c r="B13" s="82"/>
      <c r="C13" s="82"/>
      <c r="D13" s="82"/>
      <c r="E13" s="82"/>
      <c r="F13" s="82"/>
      <c r="G13" s="82"/>
      <c r="H13" s="83"/>
    </row>
    <row r="14" spans="1:26" ht="18" customHeight="1" x14ac:dyDescent="0.35">
      <c r="A14" s="81"/>
      <c r="B14" s="82"/>
      <c r="C14" s="82"/>
      <c r="D14" s="82"/>
      <c r="E14" s="82"/>
      <c r="F14" s="82"/>
      <c r="G14" s="82"/>
      <c r="H14" s="83"/>
    </row>
    <row r="15" spans="1:26" ht="18" customHeight="1" x14ac:dyDescent="0.35">
      <c r="A15" s="81"/>
      <c r="B15" s="82"/>
      <c r="C15" s="82"/>
      <c r="D15" s="82"/>
      <c r="E15" s="82"/>
      <c r="F15" s="82"/>
      <c r="G15" s="82"/>
      <c r="H15" s="83"/>
    </row>
    <row r="16" spans="1:26" ht="18" customHeight="1" x14ac:dyDescent="0.35">
      <c r="A16" s="81"/>
      <c r="B16" s="82"/>
      <c r="C16" s="82"/>
      <c r="D16" s="82"/>
      <c r="E16" s="82"/>
      <c r="F16" s="82"/>
      <c r="G16" s="82"/>
      <c r="H16" s="83"/>
    </row>
    <row r="17" spans="1:23" ht="18.600000000000001" customHeight="1" thickBot="1" x14ac:dyDescent="0.4">
      <c r="A17" s="84"/>
      <c r="B17" s="85"/>
      <c r="C17" s="85"/>
      <c r="D17" s="85"/>
      <c r="E17" s="85"/>
      <c r="F17" s="85"/>
      <c r="G17" s="85"/>
      <c r="H17" s="86"/>
    </row>
    <row r="18" spans="1:23" ht="15" customHeight="1" thickTop="1" x14ac:dyDescent="0.3"/>
    <row r="22" spans="1:23" ht="15" customHeight="1" thickBot="1" x14ac:dyDescent="0.35"/>
    <row r="23" spans="1:23" ht="15" customHeight="1" thickTop="1" x14ac:dyDescent="0.3">
      <c r="K23" s="72" t="s">
        <v>65</v>
      </c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4"/>
    </row>
    <row r="24" spans="1:23" x14ac:dyDescent="0.3">
      <c r="K24" s="75"/>
      <c r="W24" s="69"/>
    </row>
    <row r="25" spans="1:23" x14ac:dyDescent="0.3">
      <c r="K25" s="76" t="s">
        <v>66</v>
      </c>
      <c r="W25" s="69"/>
    </row>
    <row r="26" spans="1:23" ht="15.75" customHeight="1" x14ac:dyDescent="0.3">
      <c r="K26" s="76" t="s">
        <v>67</v>
      </c>
      <c r="W26" s="69"/>
    </row>
    <row r="27" spans="1:23" ht="15.75" customHeight="1" x14ac:dyDescent="0.3">
      <c r="K27" s="76" t="s">
        <v>68</v>
      </c>
      <c r="W27" s="69"/>
    </row>
    <row r="28" spans="1:23" ht="15.75" customHeight="1" x14ac:dyDescent="0.3">
      <c r="K28" s="76" t="s">
        <v>69</v>
      </c>
      <c r="W28" s="69"/>
    </row>
    <row r="29" spans="1:23" x14ac:dyDescent="0.3">
      <c r="K29" s="76" t="s">
        <v>70</v>
      </c>
      <c r="W29" s="69"/>
    </row>
    <row r="30" spans="1:23" ht="15" customHeight="1" thickBot="1" x14ac:dyDescent="0.35">
      <c r="K30" s="77" t="s">
        <v>71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1"/>
    </row>
    <row r="31" spans="1:23" ht="15" customHeight="1" thickTop="1" x14ac:dyDescent="0.3"/>
  </sheetData>
  <autoFilter ref="A3:H17" xr:uid="{00000000-0009-0000-0000-000001000000}"/>
  <mergeCells count="1">
    <mergeCell ref="A2:H2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5"/>
  <sheetViews>
    <sheetView tabSelected="1" zoomScale="72" zoomScaleNormal="115" workbookViewId="0">
      <selection activeCell="C8" sqref="C8:T8"/>
    </sheetView>
  </sheetViews>
  <sheetFormatPr defaultRowHeight="14.4" x14ac:dyDescent="0.3"/>
  <cols>
    <col min="1" max="1" width="1.5546875" customWidth="1"/>
    <col min="2" max="2" width="17.5546875" bestFit="1" customWidth="1"/>
    <col min="3" max="3" width="7.6640625" bestFit="1" customWidth="1"/>
    <col min="4" max="6" width="7.5546875" bestFit="1" customWidth="1"/>
    <col min="7" max="8" width="7" bestFit="1" customWidth="1"/>
    <col min="9" max="12" width="5.33203125" customWidth="1"/>
    <col min="13" max="13" width="8.5546875" customWidth="1"/>
    <col min="14" max="14" width="8" customWidth="1"/>
  </cols>
  <sheetData>
    <row r="1" spans="1:27" ht="15" customHeight="1" thickBot="1" x14ac:dyDescent="0.35"/>
    <row r="2" spans="1:27" ht="19.5" customHeight="1" thickBot="1" x14ac:dyDescent="0.35">
      <c r="B2" s="164" t="s">
        <v>72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6"/>
    </row>
    <row r="3" spans="1:27" x14ac:dyDescent="0.3">
      <c r="B3" s="3"/>
      <c r="T3" s="4"/>
    </row>
    <row r="4" spans="1:27" ht="15" customHeight="1" x14ac:dyDescent="0.3">
      <c r="B4" s="5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161"/>
      <c r="U4" s="25"/>
      <c r="V4" s="25"/>
      <c r="W4" s="25"/>
      <c r="X4" s="25"/>
      <c r="Y4" s="25"/>
      <c r="Z4" s="25"/>
      <c r="AA4" s="25"/>
    </row>
    <row r="5" spans="1:27" x14ac:dyDescent="0.3">
      <c r="B5" s="5"/>
      <c r="C5" s="174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3"/>
      <c r="U5" s="25"/>
      <c r="V5" s="25"/>
      <c r="W5" s="25"/>
      <c r="X5" s="25"/>
      <c r="Y5" s="25"/>
      <c r="Z5" s="25"/>
      <c r="AA5" s="25"/>
    </row>
    <row r="6" spans="1:27" x14ac:dyDescent="0.3">
      <c r="B6" s="5"/>
      <c r="C6" s="174" t="s">
        <v>73</v>
      </c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25"/>
      <c r="V6" s="25"/>
      <c r="W6" s="25"/>
      <c r="X6" s="25"/>
      <c r="Y6" s="25"/>
      <c r="Z6" s="25"/>
      <c r="AA6" s="25"/>
    </row>
    <row r="7" spans="1:27" x14ac:dyDescent="0.3">
      <c r="B7" s="5"/>
      <c r="C7" s="174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3"/>
      <c r="U7" s="25"/>
      <c r="V7" s="25"/>
      <c r="W7" s="25"/>
      <c r="X7" s="25"/>
      <c r="Y7" s="25"/>
      <c r="Z7" s="25"/>
      <c r="AA7" s="25"/>
    </row>
    <row r="8" spans="1:27" x14ac:dyDescent="0.3">
      <c r="B8" s="5"/>
      <c r="C8" s="174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3"/>
      <c r="U8" s="25"/>
      <c r="V8" s="25"/>
      <c r="W8" s="25"/>
      <c r="X8" s="25"/>
      <c r="Y8" s="25"/>
      <c r="Z8" s="25"/>
      <c r="AA8" s="25"/>
    </row>
    <row r="9" spans="1:27" ht="29.25" customHeight="1" x14ac:dyDescent="0.3">
      <c r="B9" s="26" t="s">
        <v>74</v>
      </c>
      <c r="C9" s="192" t="s">
        <v>75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3"/>
      <c r="U9" s="25"/>
      <c r="V9" s="25"/>
      <c r="W9" s="25"/>
      <c r="X9" s="25"/>
      <c r="Y9" s="25"/>
      <c r="Z9" s="25"/>
      <c r="AA9" s="25"/>
    </row>
    <row r="10" spans="1:27" x14ac:dyDescent="0.3">
      <c r="B10" s="5" t="s">
        <v>76</v>
      </c>
      <c r="C10" s="174" t="s">
        <v>77</v>
      </c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3"/>
    </row>
    <row r="11" spans="1:27" ht="15" customHeight="1" thickBot="1" x14ac:dyDescent="0.35"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/>
    </row>
    <row r="13" spans="1:27" ht="15" customHeight="1" thickBot="1" x14ac:dyDescent="0.35"/>
    <row r="14" spans="1:27" ht="19.5" customHeight="1" thickBot="1" x14ac:dyDescent="0.35">
      <c r="B14" s="176" t="s">
        <v>78</v>
      </c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7" s="2" customFormat="1" ht="15" customHeight="1" x14ac:dyDescent="0.3">
      <c r="B15" s="27" t="s">
        <v>79</v>
      </c>
      <c r="C15" s="190" t="s">
        <v>32</v>
      </c>
      <c r="D15" s="191"/>
      <c r="E15" s="179" t="s">
        <v>80</v>
      </c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1"/>
    </row>
    <row r="16" spans="1:27" ht="14.4" customHeight="1" x14ac:dyDescent="0.3">
      <c r="A16" s="3"/>
      <c r="B16" s="65" t="s">
        <v>36</v>
      </c>
      <c r="C16" s="175">
        <v>1</v>
      </c>
      <c r="D16" s="153"/>
      <c r="E16" s="167" t="s">
        <v>81</v>
      </c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9"/>
    </row>
    <row r="17" spans="1:20" ht="14.4" customHeight="1" x14ac:dyDescent="0.3">
      <c r="A17" s="3"/>
      <c r="B17" s="65" t="s">
        <v>36</v>
      </c>
      <c r="C17" s="175">
        <v>2</v>
      </c>
      <c r="D17" s="153"/>
      <c r="E17" s="167" t="s">
        <v>82</v>
      </c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9"/>
    </row>
    <row r="18" spans="1:20" ht="14.4" customHeight="1" x14ac:dyDescent="0.3">
      <c r="A18" s="3"/>
      <c r="B18" s="65" t="s">
        <v>36</v>
      </c>
      <c r="C18" s="175">
        <v>3</v>
      </c>
      <c r="D18" s="153"/>
      <c r="E18" s="167" t="s">
        <v>83</v>
      </c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9"/>
    </row>
    <row r="19" spans="1:20" ht="14.4" customHeight="1" x14ac:dyDescent="0.3">
      <c r="A19" s="3"/>
      <c r="B19" s="65" t="s">
        <v>43</v>
      </c>
      <c r="C19" s="175">
        <v>4</v>
      </c>
      <c r="D19" s="153"/>
      <c r="E19" s="167" t="s">
        <v>84</v>
      </c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9"/>
    </row>
    <row r="20" spans="1:20" ht="14.4" customHeight="1" x14ac:dyDescent="0.3">
      <c r="A20" s="3"/>
      <c r="B20" s="65" t="s">
        <v>36</v>
      </c>
      <c r="C20" s="175">
        <v>5</v>
      </c>
      <c r="D20" s="153"/>
      <c r="E20" s="167" t="s">
        <v>85</v>
      </c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9"/>
    </row>
    <row r="21" spans="1:20" ht="14.4" customHeight="1" x14ac:dyDescent="0.3">
      <c r="A21" s="3"/>
      <c r="B21" s="65" t="s">
        <v>62</v>
      </c>
      <c r="C21" s="175">
        <v>6</v>
      </c>
      <c r="D21" s="153"/>
      <c r="E21" s="167" t="s">
        <v>86</v>
      </c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9"/>
    </row>
    <row r="22" spans="1:20" ht="15" customHeight="1" x14ac:dyDescent="0.3">
      <c r="A22" s="3"/>
      <c r="B22" s="65"/>
      <c r="C22" s="175"/>
      <c r="D22" s="153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9"/>
    </row>
    <row r="23" spans="1:20" x14ac:dyDescent="0.3">
      <c r="A23" s="3"/>
      <c r="B23" s="65"/>
      <c r="C23" s="175"/>
      <c r="D23" s="153"/>
      <c r="E23" s="167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9"/>
    </row>
    <row r="24" spans="1:20" x14ac:dyDescent="0.3">
      <c r="A24" s="3"/>
      <c r="B24" s="65"/>
      <c r="C24" s="175"/>
      <c r="D24" s="153"/>
      <c r="E24" s="167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9"/>
    </row>
    <row r="25" spans="1:20" x14ac:dyDescent="0.3">
      <c r="A25" s="3"/>
      <c r="B25" s="65"/>
      <c r="C25" s="175"/>
      <c r="D25" s="153"/>
      <c r="E25" s="167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9"/>
    </row>
    <row r="26" spans="1:20" x14ac:dyDescent="0.3">
      <c r="A26" s="3"/>
      <c r="B26" s="65"/>
      <c r="C26" s="175"/>
      <c r="D26" s="153"/>
      <c r="E26" s="167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9"/>
    </row>
    <row r="27" spans="1:20" x14ac:dyDescent="0.3">
      <c r="A27" s="3"/>
      <c r="B27" s="65"/>
      <c r="C27" s="175"/>
      <c r="D27" s="153"/>
      <c r="E27" s="167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9"/>
    </row>
    <row r="28" spans="1:20" x14ac:dyDescent="0.3">
      <c r="A28" s="3"/>
      <c r="B28" s="65"/>
      <c r="C28" s="175"/>
      <c r="D28" s="153"/>
      <c r="E28" s="167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9"/>
    </row>
    <row r="29" spans="1:20" x14ac:dyDescent="0.3">
      <c r="B29" s="65"/>
      <c r="C29" s="175"/>
      <c r="D29" s="153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9"/>
    </row>
    <row r="30" spans="1:20" x14ac:dyDescent="0.3">
      <c r="A30" s="3"/>
      <c r="B30" s="65"/>
      <c r="C30" s="175"/>
      <c r="D30" s="153"/>
      <c r="E30" s="167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9"/>
    </row>
    <row r="31" spans="1:20" x14ac:dyDescent="0.3">
      <c r="A31" s="3"/>
      <c r="B31" s="65"/>
      <c r="C31" s="175"/>
      <c r="D31" s="153"/>
      <c r="E31" s="167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9"/>
    </row>
    <row r="32" spans="1:20" x14ac:dyDescent="0.3">
      <c r="A32" s="3"/>
      <c r="B32" s="65"/>
      <c r="C32" s="175"/>
      <c r="D32" s="153"/>
      <c r="E32" s="167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9"/>
    </row>
    <row r="33" spans="1:22" x14ac:dyDescent="0.3">
      <c r="A33" s="3"/>
      <c r="B33" s="65"/>
      <c r="C33" s="175"/>
      <c r="D33" s="153"/>
      <c r="E33" s="167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9"/>
    </row>
    <row r="34" spans="1:22" x14ac:dyDescent="0.3">
      <c r="B34" s="65"/>
      <c r="C34" s="175"/>
      <c r="D34" s="153"/>
      <c r="E34" s="167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9"/>
    </row>
    <row r="35" spans="1:22" ht="15" customHeight="1" thickBot="1" x14ac:dyDescent="0.35">
      <c r="B35" s="54"/>
      <c r="C35" s="194"/>
      <c r="D35" s="186"/>
      <c r="E35" s="189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4"/>
      <c r="U35" s="52"/>
    </row>
    <row r="36" spans="1:22" x14ac:dyDescent="0.3">
      <c r="C36" s="53"/>
      <c r="E36" s="52"/>
      <c r="J36" s="50"/>
    </row>
    <row r="37" spans="1:22" ht="15" customHeight="1" thickBot="1" x14ac:dyDescent="0.35"/>
    <row r="38" spans="1:22" ht="19.5" customHeight="1" thickBot="1" x14ac:dyDescent="0.35">
      <c r="B38" s="164" t="s">
        <v>87</v>
      </c>
      <c r="C38" s="165"/>
      <c r="D38" s="165"/>
      <c r="E38" s="165"/>
      <c r="F38" s="165"/>
      <c r="G38" s="165"/>
      <c r="H38" s="166"/>
      <c r="K38" s="178" t="s">
        <v>88</v>
      </c>
      <c r="L38" s="165"/>
      <c r="M38" s="165"/>
      <c r="N38" s="165"/>
      <c r="O38" s="165"/>
      <c r="P38" s="165"/>
      <c r="Q38" s="165"/>
      <c r="R38" s="151"/>
    </row>
    <row r="39" spans="1:22" ht="15" customHeight="1" x14ac:dyDescent="0.3">
      <c r="B39" s="188" t="s">
        <v>89</v>
      </c>
      <c r="C39" s="180"/>
      <c r="D39" s="180"/>
      <c r="E39" s="180"/>
      <c r="F39" s="180"/>
      <c r="G39" s="180"/>
      <c r="H39" s="181"/>
      <c r="K39" s="172" t="s">
        <v>90</v>
      </c>
      <c r="L39" s="173"/>
      <c r="M39" s="173"/>
      <c r="N39" s="173"/>
      <c r="O39" s="173"/>
      <c r="P39" s="173"/>
      <c r="Q39" s="173"/>
      <c r="R39" s="155"/>
    </row>
    <row r="40" spans="1:22" x14ac:dyDescent="0.3">
      <c r="B40" s="193" t="s">
        <v>91</v>
      </c>
      <c r="C40" s="168"/>
      <c r="D40" s="168"/>
      <c r="E40" s="168"/>
      <c r="F40" s="168"/>
      <c r="G40" s="168"/>
      <c r="H40" s="169"/>
      <c r="K40" s="187" t="s">
        <v>92</v>
      </c>
      <c r="L40" s="168"/>
      <c r="M40" s="168"/>
      <c r="N40" s="168"/>
      <c r="O40" s="168"/>
      <c r="P40" s="168"/>
      <c r="Q40" s="168"/>
      <c r="R40" s="153"/>
    </row>
    <row r="41" spans="1:22" ht="15" customHeight="1" thickBot="1" x14ac:dyDescent="0.35">
      <c r="B41" s="182"/>
      <c r="C41" s="183"/>
      <c r="D41" s="183"/>
      <c r="E41" s="183"/>
      <c r="F41" s="183"/>
      <c r="G41" s="183"/>
      <c r="H41" s="184"/>
      <c r="K41" s="185" t="s">
        <v>93</v>
      </c>
      <c r="L41" s="183"/>
      <c r="M41" s="183"/>
      <c r="N41" s="183"/>
      <c r="O41" s="183"/>
      <c r="P41" s="183"/>
      <c r="Q41" s="183"/>
      <c r="R41" s="186"/>
    </row>
    <row r="42" spans="1:22" x14ac:dyDescent="0.3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22" ht="15" customHeight="1" thickBot="1" x14ac:dyDescent="0.35"/>
    <row r="44" spans="1:22" ht="33" customHeight="1" x14ac:dyDescent="0.3">
      <c r="B44" s="176" t="s">
        <v>94</v>
      </c>
      <c r="C44" s="177"/>
      <c r="D44" s="177"/>
      <c r="E44" s="177"/>
      <c r="F44" s="177"/>
      <c r="G44" s="177"/>
      <c r="H44" s="177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s="1" customFormat="1" x14ac:dyDescent="0.3">
      <c r="B45" s="170" t="s">
        <v>32</v>
      </c>
      <c r="C45" s="16">
        <v>1</v>
      </c>
      <c r="D45" s="16">
        <v>2</v>
      </c>
      <c r="E45" s="16">
        <v>3</v>
      </c>
      <c r="F45" s="16">
        <v>4</v>
      </c>
      <c r="G45" s="16">
        <v>5</v>
      </c>
      <c r="H45" s="42">
        <v>6</v>
      </c>
      <c r="I45" s="2"/>
      <c r="J45" s="2"/>
      <c r="K45" s="2"/>
      <c r="L45" s="2"/>
      <c r="M45" s="2"/>
      <c r="N45" s="2"/>
    </row>
    <row r="46" spans="1:22" s="1" customFormat="1" x14ac:dyDescent="0.3">
      <c r="B46" s="171"/>
      <c r="C46" s="66">
        <v>46174</v>
      </c>
      <c r="D46" s="66">
        <v>46188</v>
      </c>
      <c r="E46" s="66">
        <v>46202</v>
      </c>
      <c r="F46" s="66">
        <v>46216</v>
      </c>
      <c r="G46" s="66">
        <v>46200</v>
      </c>
      <c r="H46" s="66">
        <v>46244</v>
      </c>
      <c r="I46" s="2"/>
      <c r="J46" s="2"/>
      <c r="K46" s="2"/>
      <c r="L46" s="2"/>
      <c r="M46" s="2"/>
      <c r="N46" s="2"/>
    </row>
    <row r="47" spans="1:22" x14ac:dyDescent="0.3">
      <c r="B47" s="10" t="s">
        <v>95</v>
      </c>
      <c r="C47" s="14">
        <v>8</v>
      </c>
      <c r="D47" s="14">
        <f>C47</f>
        <v>8</v>
      </c>
      <c r="E47" s="14">
        <v>3</v>
      </c>
      <c r="F47" s="14">
        <v>4</v>
      </c>
      <c r="G47" s="14">
        <v>8</v>
      </c>
      <c r="H47" s="14">
        <v>2</v>
      </c>
      <c r="I47" s="13"/>
      <c r="J47" s="13"/>
      <c r="K47" s="13"/>
      <c r="L47" s="13"/>
      <c r="M47" s="13"/>
      <c r="N47" s="13"/>
    </row>
    <row r="48" spans="1:22" x14ac:dyDescent="0.3">
      <c r="B48" s="10" t="s">
        <v>96</v>
      </c>
      <c r="C48" s="14">
        <v>4</v>
      </c>
      <c r="D48" s="14">
        <v>5</v>
      </c>
      <c r="E48" s="14">
        <v>8</v>
      </c>
      <c r="F48" s="14">
        <v>8</v>
      </c>
      <c r="G48" s="14">
        <v>2</v>
      </c>
      <c r="H48" s="14">
        <v>6</v>
      </c>
      <c r="I48" s="13"/>
      <c r="J48" s="13"/>
      <c r="K48" s="13"/>
      <c r="L48" s="13"/>
      <c r="M48" s="13"/>
      <c r="N48" s="13"/>
    </row>
    <row r="49" spans="2:14" ht="19.5" customHeight="1" x14ac:dyDescent="0.3">
      <c r="B49" s="10" t="s">
        <v>97</v>
      </c>
      <c r="C49" s="14">
        <v>8</v>
      </c>
      <c r="D49" s="14">
        <f>L49</f>
        <v>0</v>
      </c>
      <c r="E49" s="14">
        <v>3</v>
      </c>
      <c r="F49" s="14">
        <v>4</v>
      </c>
      <c r="G49" s="14">
        <v>8</v>
      </c>
      <c r="H49" s="14">
        <v>2</v>
      </c>
      <c r="I49" s="13"/>
      <c r="J49" s="13"/>
      <c r="K49" s="13"/>
      <c r="L49" s="13"/>
      <c r="M49" s="13"/>
      <c r="N49" s="13"/>
    </row>
    <row r="55" spans="2:14" x14ac:dyDescent="0.3">
      <c r="C55" s="13"/>
      <c r="D55" s="13"/>
      <c r="E55" s="13"/>
    </row>
  </sheetData>
  <autoFilter ref="B15:T35" xr:uid="{00000000-0009-0000-0000-000002000000}"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61">
    <mergeCell ref="C34:D34"/>
    <mergeCell ref="E27:T27"/>
    <mergeCell ref="C24:D24"/>
    <mergeCell ref="C30:D30"/>
    <mergeCell ref="B40:H40"/>
    <mergeCell ref="C35:D35"/>
    <mergeCell ref="C10:T10"/>
    <mergeCell ref="E26:T26"/>
    <mergeCell ref="C9:T9"/>
    <mergeCell ref="C26:D26"/>
    <mergeCell ref="E16:T16"/>
    <mergeCell ref="E25:T25"/>
    <mergeCell ref="C20:D20"/>
    <mergeCell ref="B41:H41"/>
    <mergeCell ref="C16:D16"/>
    <mergeCell ref="E22:T22"/>
    <mergeCell ref="C25:D25"/>
    <mergeCell ref="E18:T18"/>
    <mergeCell ref="K41:R41"/>
    <mergeCell ref="C22:D22"/>
    <mergeCell ref="E21:T21"/>
    <mergeCell ref="C31:D31"/>
    <mergeCell ref="K40:R40"/>
    <mergeCell ref="B39:H39"/>
    <mergeCell ref="E35:T35"/>
    <mergeCell ref="E34:T34"/>
    <mergeCell ref="C33:D33"/>
    <mergeCell ref="E32:T32"/>
    <mergeCell ref="C29:D29"/>
    <mergeCell ref="C5:T5"/>
    <mergeCell ref="C8:T8"/>
    <mergeCell ref="E24:T24"/>
    <mergeCell ref="E33:T33"/>
    <mergeCell ref="C7:T7"/>
    <mergeCell ref="C21:D21"/>
    <mergeCell ref="E23:T23"/>
    <mergeCell ref="E17:T17"/>
    <mergeCell ref="C27:D27"/>
    <mergeCell ref="E20:T20"/>
    <mergeCell ref="C17:D17"/>
    <mergeCell ref="C23:D23"/>
    <mergeCell ref="C18:D18"/>
    <mergeCell ref="E30:T30"/>
    <mergeCell ref="E15:T15"/>
    <mergeCell ref="C15:D15"/>
    <mergeCell ref="C4:T4"/>
    <mergeCell ref="B2:T2"/>
    <mergeCell ref="E29:T29"/>
    <mergeCell ref="B45:B46"/>
    <mergeCell ref="E19:T19"/>
    <mergeCell ref="K39:R39"/>
    <mergeCell ref="C6:T6"/>
    <mergeCell ref="C32:D32"/>
    <mergeCell ref="E28:T28"/>
    <mergeCell ref="B44:H44"/>
    <mergeCell ref="B14:T14"/>
    <mergeCell ref="K38:R38"/>
    <mergeCell ref="C19:D19"/>
    <mergeCell ref="E31:T31"/>
    <mergeCell ref="B38:H38"/>
    <mergeCell ref="C28:D28"/>
  </mergeCells>
  <pageMargins left="0.7" right="0.7" top="0.75" bottom="0.75" header="0.3" footer="0.3"/>
  <pageSetup paperSize="9" orientation="portrait" horizontalDpi="4294967294" verticalDpi="429496729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B2:F90"/>
  <sheetViews>
    <sheetView zoomScale="90" zoomScaleNormal="90" workbookViewId="0">
      <selection activeCell="D93" sqref="D93"/>
    </sheetView>
  </sheetViews>
  <sheetFormatPr defaultRowHeight="14.4" outlineLevelRow="2" x14ac:dyDescent="0.3"/>
  <cols>
    <col min="1" max="1" width="5.44140625" customWidth="1"/>
    <col min="3" max="3" width="76.88671875" customWidth="1"/>
    <col min="4" max="4" width="35.44140625" customWidth="1"/>
    <col min="5" max="5" width="37.88671875" customWidth="1"/>
    <col min="6" max="6" width="35.33203125" customWidth="1"/>
  </cols>
  <sheetData>
    <row r="2" spans="2:6" ht="18.600000000000001" customHeight="1" thickBot="1" x14ac:dyDescent="0.4">
      <c r="B2" s="195" t="s">
        <v>98</v>
      </c>
      <c r="C2" s="162"/>
      <c r="D2" s="43" t="s">
        <v>99</v>
      </c>
      <c r="E2" s="1" t="s">
        <v>100</v>
      </c>
      <c r="F2" s="1" t="s">
        <v>101</v>
      </c>
    </row>
    <row r="3" spans="2:6" ht="18" customHeight="1" thickBot="1" x14ac:dyDescent="0.35">
      <c r="B3" s="199" t="s">
        <v>39</v>
      </c>
      <c r="C3" s="165"/>
      <c r="D3" s="165"/>
      <c r="E3" s="165"/>
      <c r="F3" s="166"/>
    </row>
    <row r="4" spans="2:6" ht="15" customHeight="1" outlineLevel="1" thickBot="1" x14ac:dyDescent="0.35">
      <c r="B4" s="33"/>
      <c r="C4" s="34"/>
      <c r="D4" s="34"/>
      <c r="E4" s="34"/>
      <c r="F4" s="35"/>
    </row>
    <row r="5" spans="2:6" ht="15" customHeight="1" outlineLevel="2" x14ac:dyDescent="0.3">
      <c r="B5" s="114"/>
      <c r="C5" s="103"/>
      <c r="D5" s="16">
        <v>25</v>
      </c>
      <c r="E5" s="112"/>
      <c r="F5" s="115" t="s">
        <v>102</v>
      </c>
    </row>
    <row r="6" spans="2:6" outlineLevel="2" x14ac:dyDescent="0.3">
      <c r="B6" s="114"/>
      <c r="C6" s="103" t="s">
        <v>103</v>
      </c>
      <c r="D6" s="103">
        <v>4</v>
      </c>
      <c r="E6" s="112" t="s">
        <v>104</v>
      </c>
      <c r="F6" s="116" t="s">
        <v>102</v>
      </c>
    </row>
    <row r="7" spans="2:6" outlineLevel="2" x14ac:dyDescent="0.3">
      <c r="B7" s="117"/>
      <c r="C7" s="110" t="s">
        <v>105</v>
      </c>
      <c r="D7" s="110">
        <v>4</v>
      </c>
      <c r="E7" s="113" t="s">
        <v>106</v>
      </c>
      <c r="F7" s="118" t="s">
        <v>127</v>
      </c>
    </row>
    <row r="8" spans="2:6" outlineLevel="2" x14ac:dyDescent="0.3">
      <c r="B8" s="117"/>
      <c r="C8" s="14" t="s">
        <v>107</v>
      </c>
      <c r="D8" s="110">
        <v>7</v>
      </c>
      <c r="E8" s="113" t="s">
        <v>108</v>
      </c>
      <c r="F8" s="118" t="s">
        <v>127</v>
      </c>
    </row>
    <row r="9" spans="2:6" ht="15" customHeight="1" outlineLevel="2" thickBot="1" x14ac:dyDescent="0.35">
      <c r="B9" s="117"/>
      <c r="C9" s="110" t="s">
        <v>109</v>
      </c>
      <c r="D9" s="110">
        <v>5</v>
      </c>
      <c r="E9" s="113" t="s">
        <v>110</v>
      </c>
      <c r="F9" s="118" t="s">
        <v>102</v>
      </c>
    </row>
    <row r="10" spans="2:6" ht="15" customHeight="1" outlineLevel="1" collapsed="1" thickBot="1" x14ac:dyDescent="0.35">
      <c r="B10" s="119"/>
      <c r="C10" s="111" t="s">
        <v>111</v>
      </c>
      <c r="D10" s="111">
        <v>3</v>
      </c>
      <c r="E10" s="111" t="s">
        <v>112</v>
      </c>
      <c r="F10" s="120" t="s">
        <v>102</v>
      </c>
    </row>
    <row r="11" spans="2:6" ht="15" hidden="1" customHeight="1" outlineLevel="2" thickBot="1" x14ac:dyDescent="0.35">
      <c r="B11" s="121"/>
      <c r="C11" s="109" t="s">
        <v>113</v>
      </c>
      <c r="D11" s="109">
        <v>2</v>
      </c>
      <c r="E11" s="122" t="s">
        <v>114</v>
      </c>
      <c r="F11" s="123" t="s">
        <v>102</v>
      </c>
    </row>
    <row r="12" spans="2:6" ht="15" hidden="1" customHeight="1" outlineLevel="2" thickBot="1" x14ac:dyDescent="0.35">
      <c r="B12" s="114"/>
      <c r="C12" s="103" t="s">
        <v>115</v>
      </c>
      <c r="D12" s="103">
        <v>4</v>
      </c>
      <c r="E12" s="112" t="s">
        <v>116</v>
      </c>
      <c r="F12" s="116" t="s">
        <v>102</v>
      </c>
    </row>
    <row r="13" spans="2:6" ht="15" hidden="1" customHeight="1" outlineLevel="2" thickBot="1" x14ac:dyDescent="0.35">
      <c r="B13" s="114"/>
      <c r="C13" s="103" t="s">
        <v>117</v>
      </c>
      <c r="D13" s="103">
        <v>2</v>
      </c>
      <c r="E13" s="112" t="s">
        <v>118</v>
      </c>
      <c r="F13" s="116" t="s">
        <v>102</v>
      </c>
    </row>
    <row r="14" spans="2:6" ht="15" hidden="1" customHeight="1" outlineLevel="2" thickBot="1" x14ac:dyDescent="0.35">
      <c r="B14" s="114"/>
      <c r="C14" s="103" t="s">
        <v>119</v>
      </c>
      <c r="D14" s="103">
        <v>1</v>
      </c>
      <c r="E14" s="112" t="s">
        <v>120</v>
      </c>
      <c r="F14" s="116" t="s">
        <v>102</v>
      </c>
    </row>
    <row r="15" spans="2:6" ht="15" hidden="1" customHeight="1" outlineLevel="2" thickBot="1" x14ac:dyDescent="0.35">
      <c r="B15" s="124"/>
      <c r="C15" s="103"/>
      <c r="D15" s="103"/>
      <c r="E15" s="125"/>
      <c r="F15" s="126"/>
    </row>
    <row r="16" spans="2:6" ht="15" hidden="1" customHeight="1" outlineLevel="2" thickBot="1" x14ac:dyDescent="0.35">
      <c r="B16" s="117"/>
      <c r="C16" s="127"/>
      <c r="D16" s="127"/>
      <c r="E16" s="113"/>
      <c r="F16" s="118"/>
    </row>
    <row r="17" spans="2:6" ht="15" customHeight="1" outlineLevel="1" collapsed="1" thickBot="1" x14ac:dyDescent="0.35">
      <c r="B17" s="128" t="s">
        <v>121</v>
      </c>
      <c r="C17" s="129"/>
      <c r="D17" s="129"/>
      <c r="E17" s="111"/>
      <c r="F17" s="120"/>
    </row>
    <row r="18" spans="2:6" ht="15" hidden="1" customHeight="1" outlineLevel="2" thickBot="1" x14ac:dyDescent="0.35">
      <c r="B18" s="114"/>
      <c r="C18" s="103" t="s">
        <v>122</v>
      </c>
      <c r="D18" s="103"/>
      <c r="E18" s="112"/>
      <c r="F18" s="116"/>
    </row>
    <row r="19" spans="2:6" ht="15" hidden="1" customHeight="1" outlineLevel="2" thickBot="1" x14ac:dyDescent="0.35">
      <c r="B19" s="114"/>
      <c r="C19" s="103" t="s">
        <v>123</v>
      </c>
      <c r="D19" s="103"/>
      <c r="E19" s="112"/>
      <c r="F19" s="116"/>
    </row>
    <row r="20" spans="2:6" ht="18" customHeight="1" thickBot="1" x14ac:dyDescent="0.35">
      <c r="B20" s="196" t="s">
        <v>45</v>
      </c>
      <c r="C20" s="197"/>
      <c r="D20" s="197"/>
      <c r="E20" s="197"/>
      <c r="F20" s="198"/>
    </row>
    <row r="21" spans="2:6" ht="15" customHeight="1" outlineLevel="1" collapsed="1" thickBot="1" x14ac:dyDescent="0.35">
      <c r="B21" s="119" t="s">
        <v>124</v>
      </c>
      <c r="C21" s="111"/>
      <c r="D21" s="111"/>
      <c r="E21" s="111"/>
      <c r="F21" s="120"/>
    </row>
    <row r="22" spans="2:6" ht="15" hidden="1" customHeight="1" outlineLevel="2" thickBot="1" x14ac:dyDescent="0.35">
      <c r="B22" s="114"/>
      <c r="C22" s="103" t="s">
        <v>125</v>
      </c>
      <c r="D22" s="103">
        <v>4</v>
      </c>
      <c r="E22" s="112" t="s">
        <v>126</v>
      </c>
      <c r="F22" s="116" t="s">
        <v>127</v>
      </c>
    </row>
    <row r="23" spans="2:6" ht="15" hidden="1" customHeight="1" outlineLevel="2" thickBot="1" x14ac:dyDescent="0.35">
      <c r="B23" s="114"/>
      <c r="C23" s="103" t="s">
        <v>128</v>
      </c>
      <c r="D23" s="103">
        <v>5</v>
      </c>
      <c r="E23" s="112" t="s">
        <v>129</v>
      </c>
      <c r="F23" s="116" t="s">
        <v>127</v>
      </c>
    </row>
    <row r="24" spans="2:6" ht="15" hidden="1" customHeight="1" outlineLevel="2" thickBot="1" x14ac:dyDescent="0.35">
      <c r="B24" s="114"/>
      <c r="C24" s="14" t="s">
        <v>130</v>
      </c>
      <c r="D24" s="103">
        <v>8</v>
      </c>
      <c r="E24" s="112" t="s">
        <v>131</v>
      </c>
      <c r="F24" s="116" t="s">
        <v>127</v>
      </c>
    </row>
    <row r="25" spans="2:6" ht="15" hidden="1" customHeight="1" outlineLevel="2" thickBot="1" x14ac:dyDescent="0.35">
      <c r="B25" s="114"/>
      <c r="C25" s="103" t="s">
        <v>132</v>
      </c>
      <c r="D25" s="103">
        <v>5</v>
      </c>
      <c r="E25" s="112" t="s">
        <v>133</v>
      </c>
      <c r="F25" s="116" t="s">
        <v>127</v>
      </c>
    </row>
    <row r="26" spans="2:6" ht="15" hidden="1" customHeight="1" outlineLevel="2" thickBot="1" x14ac:dyDescent="0.35">
      <c r="B26" s="124"/>
      <c r="C26" s="110" t="s">
        <v>134</v>
      </c>
      <c r="D26" s="110">
        <v>5</v>
      </c>
      <c r="E26" s="125" t="s">
        <v>135</v>
      </c>
      <c r="F26" s="126" t="s">
        <v>127</v>
      </c>
    </row>
    <row r="27" spans="2:6" ht="15" customHeight="1" outlineLevel="1" collapsed="1" thickBot="1" x14ac:dyDescent="0.35">
      <c r="B27" s="119"/>
      <c r="C27" s="111"/>
      <c r="D27" s="111">
        <v>20</v>
      </c>
      <c r="E27" s="111"/>
      <c r="F27" s="120" t="s">
        <v>127</v>
      </c>
    </row>
    <row r="28" spans="2:6" ht="15" hidden="1" customHeight="1" outlineLevel="2" thickBot="1" x14ac:dyDescent="0.35">
      <c r="B28" s="114"/>
      <c r="C28" s="103" t="s">
        <v>136</v>
      </c>
      <c r="D28" s="103">
        <v>2</v>
      </c>
      <c r="E28" s="112" t="s">
        <v>137</v>
      </c>
      <c r="F28" s="116" t="s">
        <v>127</v>
      </c>
    </row>
    <row r="29" spans="2:6" ht="15" hidden="1" customHeight="1" outlineLevel="2" thickBot="1" x14ac:dyDescent="0.35">
      <c r="B29" s="114"/>
      <c r="C29" s="103" t="s">
        <v>121</v>
      </c>
      <c r="D29" s="103">
        <v>2</v>
      </c>
      <c r="E29" s="112" t="s">
        <v>138</v>
      </c>
      <c r="F29" s="116" t="s">
        <v>127</v>
      </c>
    </row>
    <row r="30" spans="2:6" ht="15" hidden="1" customHeight="1" outlineLevel="2" thickBot="1" x14ac:dyDescent="0.35">
      <c r="B30" s="114"/>
      <c r="C30" s="103" t="s">
        <v>139</v>
      </c>
      <c r="D30" s="103">
        <v>2</v>
      </c>
      <c r="E30" s="112" t="s">
        <v>140</v>
      </c>
      <c r="F30" s="116" t="s">
        <v>127</v>
      </c>
    </row>
    <row r="31" spans="2:6" ht="15" hidden="1" customHeight="1" outlineLevel="2" thickBot="1" x14ac:dyDescent="0.35">
      <c r="B31" s="114"/>
      <c r="C31" s="103"/>
      <c r="D31" s="103"/>
      <c r="E31" s="112"/>
      <c r="F31" s="116"/>
    </row>
    <row r="32" spans="2:6" ht="15" hidden="1" customHeight="1" outlineLevel="2" thickBot="1" x14ac:dyDescent="0.35">
      <c r="B32" s="117"/>
      <c r="C32" s="110"/>
      <c r="D32" s="110"/>
      <c r="E32" s="113"/>
      <c r="F32" s="118"/>
    </row>
    <row r="33" spans="2:6" ht="15" customHeight="1" outlineLevel="1" collapsed="1" thickBot="1" x14ac:dyDescent="0.35">
      <c r="B33" s="128"/>
      <c r="C33" s="129"/>
      <c r="D33" s="129"/>
      <c r="E33" s="129"/>
      <c r="F33" s="120"/>
    </row>
    <row r="34" spans="2:6" ht="15" hidden="1" customHeight="1" outlineLevel="2" thickBot="1" x14ac:dyDescent="0.35">
      <c r="B34" s="114"/>
      <c r="C34" s="103"/>
      <c r="D34" s="103"/>
      <c r="E34" s="112"/>
      <c r="F34" s="116"/>
    </row>
    <row r="35" spans="2:6" ht="15" hidden="1" customHeight="1" outlineLevel="2" thickBot="1" x14ac:dyDescent="0.35">
      <c r="B35" s="124"/>
      <c r="C35" s="13"/>
      <c r="D35" s="13"/>
      <c r="E35" s="125"/>
      <c r="F35" s="126"/>
    </row>
    <row r="36" spans="2:6" ht="15" hidden="1" customHeight="1" outlineLevel="2" thickBot="1" x14ac:dyDescent="0.35">
      <c r="B36" s="117"/>
      <c r="C36" s="103"/>
      <c r="D36" s="127"/>
      <c r="E36" s="113"/>
      <c r="F36" s="118"/>
    </row>
    <row r="37" spans="2:6" ht="15" hidden="1" customHeight="1" outlineLevel="2" thickBot="1" x14ac:dyDescent="0.35">
      <c r="B37" s="117"/>
      <c r="C37" s="103"/>
      <c r="D37" s="127"/>
      <c r="E37" s="113"/>
      <c r="F37" s="118"/>
    </row>
    <row r="38" spans="2:6" ht="15" hidden="1" customHeight="1" outlineLevel="2" thickBot="1" x14ac:dyDescent="0.35">
      <c r="B38" s="117"/>
      <c r="C38" s="110"/>
      <c r="D38" s="110"/>
      <c r="E38" s="113"/>
      <c r="F38" s="118"/>
    </row>
    <row r="39" spans="2:6" ht="15" customHeight="1" outlineLevel="1" collapsed="1" thickBot="1" x14ac:dyDescent="0.35">
      <c r="B39" s="128" t="s">
        <v>121</v>
      </c>
      <c r="C39" s="129"/>
      <c r="D39" s="129"/>
      <c r="E39" s="111"/>
      <c r="F39" s="120"/>
    </row>
    <row r="40" spans="2:6" ht="15" hidden="1" customHeight="1" outlineLevel="2" thickBot="1" x14ac:dyDescent="0.35">
      <c r="B40" s="114"/>
      <c r="C40" s="103" t="s">
        <v>122</v>
      </c>
      <c r="D40" s="103"/>
      <c r="E40" s="112"/>
      <c r="F40" s="116"/>
    </row>
    <row r="41" spans="2:6" ht="15" hidden="1" customHeight="1" outlineLevel="2" thickBot="1" x14ac:dyDescent="0.35">
      <c r="B41" s="124"/>
      <c r="C41" s="14" t="s">
        <v>123</v>
      </c>
      <c r="D41" s="14"/>
      <c r="E41" s="125"/>
      <c r="F41" s="126"/>
    </row>
    <row r="42" spans="2:6" ht="18" customHeight="1" thickBot="1" x14ac:dyDescent="0.35">
      <c r="B42" s="196" t="s">
        <v>49</v>
      </c>
      <c r="C42" s="197"/>
      <c r="D42" s="197"/>
      <c r="E42" s="197"/>
      <c r="F42" s="198"/>
    </row>
    <row r="43" spans="2:6" ht="15" customHeight="1" outlineLevel="1" collapsed="1" thickBot="1" x14ac:dyDescent="0.35">
      <c r="B43" s="119" t="s">
        <v>141</v>
      </c>
      <c r="C43" s="111"/>
      <c r="D43" s="111"/>
      <c r="E43" s="111"/>
      <c r="F43" s="120"/>
    </row>
    <row r="44" spans="2:6" ht="15" hidden="1" customHeight="1" outlineLevel="2" thickBot="1" x14ac:dyDescent="0.35">
      <c r="B44" s="114"/>
      <c r="C44" s="103" t="s">
        <v>142</v>
      </c>
      <c r="D44" s="103">
        <v>3</v>
      </c>
      <c r="E44" s="112" t="s">
        <v>143</v>
      </c>
      <c r="F44" s="116" t="s">
        <v>127</v>
      </c>
    </row>
    <row r="45" spans="2:6" ht="15" hidden="1" customHeight="1" outlineLevel="2" thickBot="1" x14ac:dyDescent="0.35">
      <c r="B45" s="114"/>
      <c r="C45" s="103" t="s">
        <v>144</v>
      </c>
      <c r="D45" s="103">
        <v>6</v>
      </c>
      <c r="E45" s="112" t="s">
        <v>145</v>
      </c>
      <c r="F45" s="116" t="s">
        <v>127</v>
      </c>
    </row>
    <row r="46" spans="2:6" ht="15" hidden="1" customHeight="1" outlineLevel="2" thickBot="1" x14ac:dyDescent="0.35">
      <c r="B46" s="114"/>
      <c r="C46" s="103" t="s">
        <v>146</v>
      </c>
      <c r="D46" s="103">
        <v>4</v>
      </c>
      <c r="E46" s="112" t="s">
        <v>147</v>
      </c>
      <c r="F46" s="116" t="s">
        <v>127</v>
      </c>
    </row>
    <row r="47" spans="2:6" ht="15" hidden="1" customHeight="1" outlineLevel="2" thickBot="1" x14ac:dyDescent="0.35">
      <c r="B47" s="124"/>
      <c r="C47" s="103" t="s">
        <v>148</v>
      </c>
      <c r="D47" s="103">
        <v>4</v>
      </c>
      <c r="E47" s="125" t="s">
        <v>149</v>
      </c>
      <c r="F47" s="126" t="s">
        <v>127</v>
      </c>
    </row>
    <row r="48" spans="2:6" ht="15" hidden="1" customHeight="1" outlineLevel="2" thickBot="1" x14ac:dyDescent="0.35">
      <c r="B48" s="124"/>
      <c r="C48" s="103" t="s">
        <v>115</v>
      </c>
      <c r="D48" s="103">
        <v>3</v>
      </c>
      <c r="E48" s="125" t="s">
        <v>150</v>
      </c>
      <c r="F48" s="126" t="s">
        <v>127</v>
      </c>
    </row>
    <row r="49" spans="2:6" ht="15" customHeight="1" outlineLevel="1" collapsed="1" thickBot="1" x14ac:dyDescent="0.35">
      <c r="B49" s="119"/>
      <c r="C49" s="111"/>
      <c r="D49" s="111">
        <v>23</v>
      </c>
      <c r="E49" s="111"/>
      <c r="F49" s="120" t="s">
        <v>127</v>
      </c>
    </row>
    <row r="50" spans="2:6" ht="15" hidden="1" customHeight="1" outlineLevel="2" thickBot="1" x14ac:dyDescent="0.35">
      <c r="B50" s="114"/>
      <c r="C50" s="103" t="s">
        <v>151</v>
      </c>
      <c r="D50" s="103">
        <v>2</v>
      </c>
      <c r="E50" s="112" t="s">
        <v>152</v>
      </c>
      <c r="F50" s="116" t="s">
        <v>127</v>
      </c>
    </row>
    <row r="51" spans="2:6" ht="15" hidden="1" customHeight="1" outlineLevel="2" thickBot="1" x14ac:dyDescent="0.35">
      <c r="B51" s="114"/>
      <c r="C51" s="103" t="s">
        <v>117</v>
      </c>
      <c r="D51" s="103">
        <v>2</v>
      </c>
      <c r="E51" s="112" t="s">
        <v>153</v>
      </c>
      <c r="F51" s="116" t="s">
        <v>127</v>
      </c>
    </row>
    <row r="52" spans="2:6" ht="15" hidden="1" customHeight="1" outlineLevel="2" thickBot="1" x14ac:dyDescent="0.35">
      <c r="B52" s="114"/>
      <c r="C52" s="103" t="s">
        <v>154</v>
      </c>
      <c r="D52" s="103">
        <v>1</v>
      </c>
      <c r="E52" s="112" t="s">
        <v>155</v>
      </c>
      <c r="F52" s="116" t="s">
        <v>127</v>
      </c>
    </row>
    <row r="53" spans="2:6" ht="15" hidden="1" customHeight="1" outlineLevel="2" thickBot="1" x14ac:dyDescent="0.35">
      <c r="B53" s="114"/>
      <c r="C53" s="103"/>
      <c r="D53" s="103"/>
      <c r="E53" s="112"/>
      <c r="F53" s="116"/>
    </row>
    <row r="54" spans="2:6" ht="15" hidden="1" customHeight="1" outlineLevel="2" thickBot="1" x14ac:dyDescent="0.35">
      <c r="B54" s="117"/>
      <c r="C54" s="110"/>
      <c r="D54" s="110"/>
      <c r="E54" s="113"/>
      <c r="F54" s="118"/>
    </row>
    <row r="55" spans="2:6" ht="15" customHeight="1" outlineLevel="1" collapsed="1" thickBot="1" x14ac:dyDescent="0.35">
      <c r="B55" s="128"/>
      <c r="C55" s="129"/>
      <c r="D55" s="129"/>
      <c r="E55" s="129"/>
      <c r="F55" s="120"/>
    </row>
    <row r="56" spans="2:6" ht="15" hidden="1" customHeight="1" outlineLevel="2" thickBot="1" x14ac:dyDescent="0.35">
      <c r="B56" s="114"/>
      <c r="C56" s="103"/>
      <c r="D56" s="103"/>
      <c r="E56" s="112"/>
      <c r="F56" s="116"/>
    </row>
    <row r="57" spans="2:6" ht="15" hidden="1" customHeight="1" outlineLevel="2" thickBot="1" x14ac:dyDescent="0.35">
      <c r="B57" s="124"/>
      <c r="C57" s="14"/>
      <c r="D57" s="14"/>
      <c r="E57" s="125"/>
      <c r="F57" s="126"/>
    </row>
    <row r="58" spans="2:6" ht="15" hidden="1" customHeight="1" outlineLevel="2" thickBot="1" x14ac:dyDescent="0.35">
      <c r="B58" s="124"/>
      <c r="C58" s="14"/>
      <c r="D58" s="14"/>
      <c r="E58" s="125"/>
      <c r="F58" s="126"/>
    </row>
    <row r="59" spans="2:6" ht="15" hidden="1" customHeight="1" outlineLevel="2" thickBot="1" x14ac:dyDescent="0.35">
      <c r="B59" s="124"/>
      <c r="C59" s="14"/>
      <c r="D59" s="14"/>
      <c r="E59" s="125"/>
      <c r="F59" s="126"/>
    </row>
    <row r="60" spans="2:6" ht="15" hidden="1" customHeight="1" outlineLevel="2" thickBot="1" x14ac:dyDescent="0.35">
      <c r="B60" s="117"/>
      <c r="C60" s="110"/>
      <c r="D60" s="110"/>
      <c r="E60" s="113"/>
      <c r="F60" s="118"/>
    </row>
    <row r="61" spans="2:6" ht="15" customHeight="1" outlineLevel="1" collapsed="1" thickBot="1" x14ac:dyDescent="0.35">
      <c r="B61" s="128" t="s">
        <v>121</v>
      </c>
      <c r="C61" s="129"/>
      <c r="D61" s="129"/>
      <c r="E61" s="111"/>
      <c r="F61" s="120"/>
    </row>
    <row r="62" spans="2:6" ht="15" hidden="1" customHeight="1" outlineLevel="2" thickBot="1" x14ac:dyDescent="0.35">
      <c r="B62" s="114"/>
      <c r="C62" s="103" t="s">
        <v>122</v>
      </c>
      <c r="D62" s="103"/>
      <c r="E62" s="112"/>
      <c r="F62" s="116"/>
    </row>
    <row r="63" spans="2:6" ht="15" hidden="1" customHeight="1" outlineLevel="2" thickBot="1" x14ac:dyDescent="0.35">
      <c r="B63" s="124"/>
      <c r="C63" s="14" t="s">
        <v>123</v>
      </c>
      <c r="D63" s="14"/>
      <c r="E63" s="125"/>
      <c r="F63" s="126"/>
    </row>
    <row r="64" spans="2:6" ht="18" customHeight="1" thickBot="1" x14ac:dyDescent="0.35">
      <c r="B64" s="196" t="s">
        <v>54</v>
      </c>
      <c r="C64" s="197"/>
      <c r="D64" s="197"/>
      <c r="E64" s="197"/>
      <c r="F64" s="198"/>
    </row>
    <row r="65" spans="2:6" ht="15" customHeight="1" outlineLevel="1" collapsed="1" thickBot="1" x14ac:dyDescent="0.35">
      <c r="B65" s="128" t="s">
        <v>156</v>
      </c>
      <c r="C65" s="129"/>
      <c r="D65" s="129">
        <v>20</v>
      </c>
      <c r="E65" s="129"/>
      <c r="F65" s="120" t="s">
        <v>102</v>
      </c>
    </row>
    <row r="66" spans="2:6" ht="15" hidden="1" customHeight="1" outlineLevel="2" thickBot="1" x14ac:dyDescent="0.35">
      <c r="B66" s="121"/>
      <c r="C66" s="104" t="s">
        <v>157</v>
      </c>
      <c r="D66" s="104">
        <v>3</v>
      </c>
      <c r="E66" s="130" t="s">
        <v>158</v>
      </c>
      <c r="F66" s="123" t="s">
        <v>102</v>
      </c>
    </row>
    <row r="67" spans="2:6" ht="15" hidden="1" customHeight="1" outlineLevel="2" thickBot="1" x14ac:dyDescent="0.35">
      <c r="B67" s="114"/>
      <c r="C67" s="131" t="s">
        <v>159</v>
      </c>
      <c r="D67" s="131">
        <v>6</v>
      </c>
      <c r="E67" s="132" t="s">
        <v>160</v>
      </c>
      <c r="F67" s="116" t="s">
        <v>102</v>
      </c>
    </row>
    <row r="68" spans="2:6" ht="15" hidden="1" customHeight="1" outlineLevel="2" thickBot="1" x14ac:dyDescent="0.35">
      <c r="B68" s="114"/>
      <c r="C68" s="131" t="s">
        <v>161</v>
      </c>
      <c r="D68" s="131">
        <v>4</v>
      </c>
      <c r="E68" s="132" t="s">
        <v>162</v>
      </c>
      <c r="F68" s="116" t="s">
        <v>102</v>
      </c>
    </row>
    <row r="69" spans="2:6" ht="15" hidden="1" customHeight="1" outlineLevel="2" thickBot="1" x14ac:dyDescent="0.35">
      <c r="B69" s="114"/>
      <c r="C69" s="103" t="s">
        <v>163</v>
      </c>
      <c r="D69" s="103">
        <v>4</v>
      </c>
      <c r="E69" s="112" t="s">
        <v>164</v>
      </c>
      <c r="F69" s="116" t="s">
        <v>102</v>
      </c>
    </row>
    <row r="70" spans="2:6" ht="15" customHeight="1" outlineLevel="1" collapsed="1" thickBot="1" x14ac:dyDescent="0.35">
      <c r="B70" s="128"/>
      <c r="C70" s="133" t="s">
        <v>165</v>
      </c>
      <c r="D70" s="133">
        <v>4</v>
      </c>
      <c r="E70" s="134" t="s">
        <v>166</v>
      </c>
      <c r="F70" s="135" t="s">
        <v>102</v>
      </c>
    </row>
    <row r="71" spans="2:6" ht="15" hidden="1" customHeight="1" outlineLevel="2" thickBot="1" x14ac:dyDescent="0.35">
      <c r="B71" s="56"/>
      <c r="C71" s="57" t="s">
        <v>167</v>
      </c>
      <c r="D71" s="87">
        <v>3</v>
      </c>
      <c r="E71" s="64" t="s">
        <v>168</v>
      </c>
      <c r="F71" s="58" t="s">
        <v>102</v>
      </c>
    </row>
    <row r="72" spans="2:6" ht="15" hidden="1" customHeight="1" outlineLevel="2" thickBot="1" x14ac:dyDescent="0.35">
      <c r="B72" s="30"/>
      <c r="C72" s="9" t="s">
        <v>151</v>
      </c>
      <c r="D72" s="9">
        <v>2</v>
      </c>
      <c r="E72" s="45" t="s">
        <v>169</v>
      </c>
      <c r="F72" s="29" t="s">
        <v>102</v>
      </c>
    </row>
    <row r="73" spans="2:6" ht="15" hidden="1" customHeight="1" outlineLevel="2" thickBot="1" x14ac:dyDescent="0.35">
      <c r="B73" s="28"/>
      <c r="C73" s="9" t="s">
        <v>170</v>
      </c>
      <c r="D73" s="9">
        <v>2</v>
      </c>
      <c r="E73" s="45" t="s">
        <v>153</v>
      </c>
      <c r="F73" s="29" t="s">
        <v>102</v>
      </c>
    </row>
    <row r="74" spans="2:6" ht="15" hidden="1" customHeight="1" outlineLevel="2" thickBot="1" x14ac:dyDescent="0.35">
      <c r="B74" s="36"/>
      <c r="C74" s="9" t="s">
        <v>154</v>
      </c>
      <c r="D74" s="47">
        <v>1</v>
      </c>
      <c r="E74" s="55" t="s">
        <v>171</v>
      </c>
      <c r="F74" s="38" t="s">
        <v>102</v>
      </c>
    </row>
    <row r="75" spans="2:6" ht="15" hidden="1" customHeight="1" outlineLevel="2" thickBot="1" x14ac:dyDescent="0.35">
      <c r="B75" s="59"/>
      <c r="C75" s="60"/>
      <c r="D75" s="60"/>
      <c r="E75" s="61"/>
      <c r="F75" s="62"/>
    </row>
    <row r="76" spans="2:6" ht="15" customHeight="1" outlineLevel="1" collapsed="1" thickBot="1" x14ac:dyDescent="0.35">
      <c r="B76" s="49"/>
      <c r="C76" s="34"/>
      <c r="D76" s="34"/>
      <c r="E76" s="34"/>
      <c r="F76" s="35"/>
    </row>
    <row r="77" spans="2:6" ht="15" hidden="1" customHeight="1" outlineLevel="2" thickBot="1" x14ac:dyDescent="0.35">
      <c r="B77" s="30"/>
      <c r="C77" s="31"/>
      <c r="D77" s="31"/>
      <c r="E77" s="44"/>
      <c r="F77" s="32"/>
    </row>
    <row r="78" spans="2:6" ht="15" hidden="1" customHeight="1" outlineLevel="2" thickBot="1" x14ac:dyDescent="0.35">
      <c r="B78" s="30"/>
      <c r="C78" s="31"/>
      <c r="D78" s="47"/>
      <c r="E78" s="55"/>
      <c r="F78" s="32"/>
    </row>
    <row r="79" spans="2:6" ht="15" hidden="1" customHeight="1" outlineLevel="2" thickBot="1" x14ac:dyDescent="0.35">
      <c r="B79" s="30"/>
      <c r="C79" s="9"/>
      <c r="D79" s="37"/>
      <c r="E79" s="46"/>
      <c r="F79" s="32"/>
    </row>
    <row r="80" spans="2:6" ht="15" hidden="1" customHeight="1" outlineLevel="2" thickBot="1" x14ac:dyDescent="0.35">
      <c r="B80" s="28"/>
      <c r="C80" s="31"/>
      <c r="D80" s="47"/>
      <c r="E80" s="55"/>
      <c r="F80" s="29"/>
    </row>
    <row r="81" spans="2:6" ht="15" hidden="1" customHeight="1" outlineLevel="2" thickBot="1" x14ac:dyDescent="0.35">
      <c r="B81" s="28"/>
      <c r="C81" s="37"/>
      <c r="D81" s="37"/>
      <c r="E81" s="46"/>
      <c r="F81" s="29"/>
    </row>
    <row r="82" spans="2:6" ht="15" customHeight="1" outlineLevel="1" collapsed="1" thickBot="1" x14ac:dyDescent="0.35">
      <c r="B82" s="49"/>
      <c r="C82" s="34"/>
      <c r="D82" s="34"/>
      <c r="E82" s="34"/>
      <c r="F82" s="35"/>
    </row>
    <row r="83" spans="2:6" ht="15" hidden="1" customHeight="1" outlineLevel="2" thickBot="1" x14ac:dyDescent="0.35">
      <c r="B83" s="30"/>
      <c r="C83" s="31"/>
      <c r="D83" s="31"/>
      <c r="E83" s="44"/>
      <c r="F83" s="32"/>
    </row>
    <row r="84" spans="2:6" ht="15" hidden="1" customHeight="1" outlineLevel="2" thickBot="1" x14ac:dyDescent="0.35">
      <c r="B84" s="30"/>
      <c r="C84" s="9"/>
      <c r="D84" s="37"/>
      <c r="E84" s="46"/>
      <c r="F84" s="32"/>
    </row>
    <row r="85" spans="2:6" ht="15" hidden="1" customHeight="1" outlineLevel="2" thickBot="1" x14ac:dyDescent="0.35">
      <c r="B85" s="30"/>
      <c r="C85" s="31"/>
      <c r="D85" s="31"/>
      <c r="E85" s="44"/>
      <c r="F85" s="32"/>
    </row>
    <row r="86" spans="2:6" ht="15" hidden="1" customHeight="1" outlineLevel="2" thickBot="1" x14ac:dyDescent="0.35">
      <c r="B86" s="28"/>
      <c r="C86" s="31"/>
      <c r="D86" s="47"/>
      <c r="E86" s="55"/>
      <c r="F86" s="29"/>
    </row>
    <row r="87" spans="2:6" ht="15" hidden="1" customHeight="1" outlineLevel="2" thickBot="1" x14ac:dyDescent="0.35">
      <c r="B87" s="28"/>
      <c r="C87" s="37"/>
      <c r="D87" s="37"/>
      <c r="E87" s="46"/>
      <c r="F87" s="29"/>
    </row>
    <row r="88" spans="2:6" ht="15" customHeight="1" outlineLevel="1" collapsed="1" thickBot="1" x14ac:dyDescent="0.35">
      <c r="B88" s="49" t="s">
        <v>121</v>
      </c>
      <c r="C88" s="48"/>
      <c r="D88" s="48"/>
      <c r="E88" s="34"/>
      <c r="F88" s="35"/>
    </row>
    <row r="89" spans="2:6" hidden="1" outlineLevel="2" x14ac:dyDescent="0.3">
      <c r="B89" s="30"/>
      <c r="C89" s="31" t="s">
        <v>122</v>
      </c>
      <c r="D89" s="31"/>
      <c r="E89" s="44"/>
      <c r="F89" s="32"/>
    </row>
    <row r="90" spans="2:6" ht="15" hidden="1" customHeight="1" outlineLevel="2" thickBot="1" x14ac:dyDescent="0.35">
      <c r="B90" s="28"/>
      <c r="C90" s="9" t="s">
        <v>123</v>
      </c>
      <c r="D90" s="37"/>
      <c r="E90" s="61"/>
      <c r="F90" s="62"/>
    </row>
  </sheetData>
  <mergeCells count="5">
    <mergeCell ref="B2:C2"/>
    <mergeCell ref="B20:F20"/>
    <mergeCell ref="B64:F64"/>
    <mergeCell ref="B42:F42"/>
    <mergeCell ref="B3:F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H47"/>
  <sheetViews>
    <sheetView topLeftCell="A13" zoomScale="69" zoomScaleNormal="100" workbookViewId="0">
      <selection activeCell="B45" sqref="B45:AB45"/>
    </sheetView>
  </sheetViews>
  <sheetFormatPr defaultRowHeight="14.4" x14ac:dyDescent="0.3"/>
  <cols>
    <col min="1" max="1" width="3.44140625" customWidth="1"/>
    <col min="2" max="2" width="15.88671875" bestFit="1" customWidth="1"/>
    <col min="3" max="12" width="5.33203125" customWidth="1"/>
    <col min="13" max="22" width="6.6640625" customWidth="1"/>
    <col min="23" max="23" width="9.44140625" customWidth="1"/>
  </cols>
  <sheetData>
    <row r="2" spans="2:34" ht="19.5" customHeight="1" x14ac:dyDescent="0.3">
      <c r="B2" s="207" t="s">
        <v>172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2"/>
      <c r="AD2" s="12"/>
      <c r="AE2" s="12"/>
      <c r="AF2" s="12"/>
      <c r="AG2" s="12"/>
      <c r="AH2" s="12"/>
    </row>
    <row r="3" spans="2:34" x14ac:dyDescent="0.3">
      <c r="B3" s="3"/>
      <c r="AB3" s="4"/>
    </row>
    <row r="4" spans="2:34" ht="15" customHeight="1" x14ac:dyDescent="0.3">
      <c r="B4" s="200" t="s">
        <v>173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11"/>
      <c r="AD4" s="11"/>
      <c r="AE4" s="11"/>
      <c r="AF4" s="11"/>
      <c r="AG4" s="11"/>
      <c r="AH4" s="11"/>
    </row>
    <row r="5" spans="2:34" ht="15" customHeight="1" x14ac:dyDescent="0.3">
      <c r="B5" s="105" t="s">
        <v>174</v>
      </c>
      <c r="C5" s="202" t="s">
        <v>239</v>
      </c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3"/>
      <c r="AC5" s="11"/>
      <c r="AD5" s="11"/>
      <c r="AE5" s="11"/>
      <c r="AF5" s="11"/>
      <c r="AG5" s="11"/>
      <c r="AH5" s="11"/>
    </row>
    <row r="6" spans="2:34" ht="15" customHeight="1" x14ac:dyDescent="0.3">
      <c r="B6" s="105"/>
      <c r="C6" s="101"/>
      <c r="D6" s="101"/>
      <c r="E6" s="101"/>
      <c r="F6" s="101"/>
      <c r="G6" s="101"/>
      <c r="H6" s="101"/>
      <c r="I6" s="101"/>
      <c r="J6" s="106"/>
      <c r="K6" s="10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8"/>
      <c r="AC6" s="11"/>
      <c r="AD6" s="11"/>
      <c r="AE6" s="11"/>
      <c r="AF6" s="11"/>
      <c r="AG6" s="11"/>
      <c r="AH6" s="11"/>
    </row>
    <row r="7" spans="2:34" ht="15" customHeight="1" x14ac:dyDescent="0.3">
      <c r="B7" s="105" t="s">
        <v>175</v>
      </c>
      <c r="C7" s="203" t="s">
        <v>176</v>
      </c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10"/>
      <c r="AC7" s="11"/>
      <c r="AD7" s="11"/>
      <c r="AE7" s="11"/>
      <c r="AF7" s="11"/>
      <c r="AG7" s="11"/>
      <c r="AH7" s="11"/>
    </row>
    <row r="8" spans="2:34" x14ac:dyDescent="0.3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</row>
    <row r="11" spans="2:34" ht="19.5" customHeight="1" x14ac:dyDescent="0.3">
      <c r="B11" s="207" t="s">
        <v>177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2"/>
      <c r="AD11" s="12"/>
      <c r="AE11" s="12"/>
      <c r="AF11" s="12"/>
      <c r="AG11" s="12"/>
      <c r="AH11" s="12"/>
    </row>
    <row r="12" spans="2:34" x14ac:dyDescent="0.3">
      <c r="B12" s="190" t="s">
        <v>177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91"/>
      <c r="AA12" s="190" t="s">
        <v>101</v>
      </c>
      <c r="AB12" s="191"/>
    </row>
    <row r="13" spans="2:34" x14ac:dyDescent="0.3">
      <c r="B13" s="205" t="s">
        <v>81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91"/>
      <c r="AA13" s="205" t="s">
        <v>102</v>
      </c>
      <c r="AB13" s="191"/>
    </row>
    <row r="14" spans="2:34" x14ac:dyDescent="0.3">
      <c r="B14" s="205" t="s">
        <v>178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91"/>
      <c r="AA14" s="205" t="s">
        <v>127</v>
      </c>
      <c r="AB14" s="191"/>
    </row>
    <row r="15" spans="2:34" x14ac:dyDescent="0.3">
      <c r="B15" s="205" t="s">
        <v>179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91"/>
      <c r="AA15" s="205" t="s">
        <v>102</v>
      </c>
      <c r="AB15" s="191"/>
    </row>
    <row r="16" spans="2:34" x14ac:dyDescent="0.3">
      <c r="B16" s="205" t="s">
        <v>180</v>
      </c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91"/>
      <c r="AA16" s="205" t="s">
        <v>127</v>
      </c>
      <c r="AB16" s="191"/>
    </row>
    <row r="19" spans="2:22" ht="15.75" customHeight="1" x14ac:dyDescent="0.3"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2:22" s="1" customFormat="1" x14ac:dyDescent="0.3"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x14ac:dyDescent="0.3"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2:22" ht="18.75" customHeight="1" x14ac:dyDescent="0.3">
      <c r="B22" s="207" t="s">
        <v>181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2:22" x14ac:dyDescent="0.3">
      <c r="B23" s="213" t="s">
        <v>182</v>
      </c>
      <c r="C23" s="16">
        <v>1</v>
      </c>
      <c r="D23" s="16">
        <v>2</v>
      </c>
      <c r="E23" s="16">
        <v>3</v>
      </c>
      <c r="F23" s="16">
        <v>4</v>
      </c>
      <c r="G23" s="39">
        <v>5</v>
      </c>
      <c r="H23" s="16">
        <v>6</v>
      </c>
      <c r="I23" s="16">
        <v>7</v>
      </c>
      <c r="J23" s="16">
        <v>8</v>
      </c>
      <c r="K23" s="16">
        <v>9</v>
      </c>
      <c r="L23" s="16">
        <v>10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 x14ac:dyDescent="0.3">
      <c r="B24" s="171"/>
      <c r="C24" s="16" t="s">
        <v>183</v>
      </c>
      <c r="D24" s="16" t="s">
        <v>184</v>
      </c>
      <c r="E24" s="16" t="s">
        <v>185</v>
      </c>
      <c r="F24" s="16" t="s">
        <v>186</v>
      </c>
      <c r="G24" s="39" t="s">
        <v>187</v>
      </c>
      <c r="H24" s="16" t="s">
        <v>183</v>
      </c>
      <c r="I24" s="16" t="s">
        <v>184</v>
      </c>
      <c r="J24" s="16" t="s">
        <v>185</v>
      </c>
      <c r="K24" s="16" t="s">
        <v>186</v>
      </c>
      <c r="L24" s="39" t="s">
        <v>187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2:22" x14ac:dyDescent="0.3">
      <c r="B25" s="42" t="s">
        <v>188</v>
      </c>
      <c r="C25" s="14">
        <v>15</v>
      </c>
      <c r="D25" s="14">
        <v>14</v>
      </c>
      <c r="E25" s="14">
        <v>12</v>
      </c>
      <c r="F25" s="14">
        <v>11</v>
      </c>
      <c r="G25" s="14">
        <v>9</v>
      </c>
      <c r="H25" s="14">
        <v>7</v>
      </c>
      <c r="I25" s="14">
        <v>6</v>
      </c>
      <c r="J25" s="14">
        <v>5</v>
      </c>
      <c r="K25" s="14">
        <v>3</v>
      </c>
      <c r="L25" s="14">
        <v>0</v>
      </c>
    </row>
    <row r="26" spans="2:22" x14ac:dyDescent="0.3">
      <c r="B26" s="42" t="s">
        <v>189</v>
      </c>
      <c r="C26" s="14">
        <v>1</v>
      </c>
      <c r="D26" s="14">
        <v>2</v>
      </c>
      <c r="E26" s="14">
        <v>3</v>
      </c>
      <c r="F26" s="14">
        <v>4</v>
      </c>
      <c r="G26" s="40">
        <v>7</v>
      </c>
      <c r="H26" s="14">
        <v>5</v>
      </c>
      <c r="I26" s="14">
        <v>6</v>
      </c>
      <c r="J26" s="14">
        <v>5</v>
      </c>
      <c r="K26" s="14">
        <v>3</v>
      </c>
      <c r="L26" s="14">
        <v>0</v>
      </c>
    </row>
    <row r="27" spans="2:22" x14ac:dyDescent="0.3">
      <c r="B27" s="42" t="s">
        <v>97</v>
      </c>
      <c r="C27" s="14">
        <f t="shared" ref="C27:L27" si="0">ROUND(LARGE($C$25:$L$25,1)*C23/$L$23,0)</f>
        <v>2</v>
      </c>
      <c r="D27" s="14">
        <f t="shared" si="0"/>
        <v>3</v>
      </c>
      <c r="E27" s="14">
        <f t="shared" si="0"/>
        <v>5</v>
      </c>
      <c r="F27" s="14">
        <f t="shared" si="0"/>
        <v>6</v>
      </c>
      <c r="G27" s="14">
        <f t="shared" si="0"/>
        <v>8</v>
      </c>
      <c r="H27" s="14">
        <f t="shared" si="0"/>
        <v>9</v>
      </c>
      <c r="I27" s="14">
        <f t="shared" si="0"/>
        <v>11</v>
      </c>
      <c r="J27" s="14">
        <f t="shared" si="0"/>
        <v>12</v>
      </c>
      <c r="K27" s="14">
        <f t="shared" si="0"/>
        <v>14</v>
      </c>
      <c r="L27" s="14">
        <f t="shared" si="0"/>
        <v>15</v>
      </c>
    </row>
    <row r="29" spans="2:22" x14ac:dyDescent="0.3">
      <c r="B29" s="95"/>
      <c r="C29" s="22" t="s">
        <v>190</v>
      </c>
      <c r="D29" s="95" t="s">
        <v>191</v>
      </c>
      <c r="E29" s="95"/>
      <c r="L29" s="51"/>
    </row>
    <row r="33" spans="2:28" ht="18.75" customHeight="1" x14ac:dyDescent="0.3">
      <c r="B33" s="207" t="s">
        <v>192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</row>
    <row r="34" spans="2:28" x14ac:dyDescent="0.3">
      <c r="B34" s="42" t="s">
        <v>102</v>
      </c>
      <c r="C34" s="208" t="s">
        <v>193</v>
      </c>
      <c r="D34" s="168"/>
      <c r="E34" s="168"/>
      <c r="F34" s="168"/>
      <c r="G34" s="168"/>
      <c r="H34" s="168"/>
      <c r="I34" s="168"/>
      <c r="J34" s="168"/>
      <c r="K34" s="168"/>
      <c r="L34" s="153"/>
    </row>
    <row r="35" spans="2:28" x14ac:dyDescent="0.3">
      <c r="B35" s="42" t="s">
        <v>127</v>
      </c>
      <c r="C35" s="206" t="s">
        <v>193</v>
      </c>
      <c r="D35" s="168"/>
      <c r="E35" s="168"/>
      <c r="F35" s="168"/>
      <c r="G35" s="168"/>
      <c r="H35" s="168"/>
      <c r="I35" s="168"/>
      <c r="J35" s="168"/>
      <c r="K35" s="168"/>
      <c r="L35" s="153"/>
    </row>
    <row r="36" spans="2:28" x14ac:dyDescent="0.3">
      <c r="B36" s="42"/>
      <c r="C36" s="206"/>
      <c r="D36" s="168"/>
      <c r="E36" s="168"/>
      <c r="F36" s="168"/>
      <c r="G36" s="168"/>
      <c r="H36" s="168"/>
      <c r="I36" s="168"/>
      <c r="J36" s="168"/>
      <c r="K36" s="168"/>
      <c r="L36" s="153"/>
    </row>
    <row r="42" spans="2:28" ht="18.75" customHeight="1" x14ac:dyDescent="0.3">
      <c r="B42" s="207" t="s">
        <v>194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</row>
    <row r="43" spans="2:28" x14ac:dyDescent="0.3">
      <c r="B43" s="156" t="s">
        <v>195</v>
      </c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2"/>
    </row>
    <row r="44" spans="2:28" x14ac:dyDescent="0.3">
      <c r="B44" s="204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53"/>
    </row>
    <row r="45" spans="2:28" x14ac:dyDescent="0.3">
      <c r="B45" s="204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53"/>
    </row>
    <row r="46" spans="2:28" x14ac:dyDescent="0.3">
      <c r="B46" s="204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53"/>
    </row>
    <row r="47" spans="2:28" x14ac:dyDescent="0.3">
      <c r="B47" s="204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53"/>
    </row>
  </sheetData>
  <mergeCells count="27">
    <mergeCell ref="B47:AB47"/>
    <mergeCell ref="B2:AB2"/>
    <mergeCell ref="AA12:AB12"/>
    <mergeCell ref="B14:Z14"/>
    <mergeCell ref="C36:L36"/>
    <mergeCell ref="AA14:AB14"/>
    <mergeCell ref="B43:AB43"/>
    <mergeCell ref="B23:B24"/>
    <mergeCell ref="B22:L22"/>
    <mergeCell ref="B15:Z15"/>
    <mergeCell ref="AA15:AB15"/>
    <mergeCell ref="B4:AB4"/>
    <mergeCell ref="C5:AB5"/>
    <mergeCell ref="B46:AB46"/>
    <mergeCell ref="B16:Z16"/>
    <mergeCell ref="B45:AB45"/>
    <mergeCell ref="B12:Z12"/>
    <mergeCell ref="AA13:AB13"/>
    <mergeCell ref="C35:L35"/>
    <mergeCell ref="AA16:AB16"/>
    <mergeCell ref="B33:L33"/>
    <mergeCell ref="C34:L34"/>
    <mergeCell ref="B44:AB44"/>
    <mergeCell ref="C7:AB7"/>
    <mergeCell ref="B13:Z13"/>
    <mergeCell ref="B42:AB42"/>
    <mergeCell ref="B11:AB11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zoomScale="66" workbookViewId="0">
      <selection activeCell="F5" sqref="F5"/>
    </sheetView>
  </sheetViews>
  <sheetFormatPr defaultRowHeight="14.4" x14ac:dyDescent="0.3"/>
  <cols>
    <col min="1" max="1" width="4.6640625" customWidth="1"/>
    <col min="2" max="2" width="82.109375" customWidth="1"/>
    <col min="3" max="3" width="37.5546875" bestFit="1" customWidth="1"/>
    <col min="4" max="4" width="59" customWidth="1"/>
  </cols>
  <sheetData>
    <row r="1" spans="1:4" ht="15" customHeight="1" thickBot="1" x14ac:dyDescent="0.35"/>
    <row r="2" spans="1:4" ht="18.600000000000001" customHeight="1" thickBot="1" x14ac:dyDescent="0.35">
      <c r="B2" s="164" t="s">
        <v>24</v>
      </c>
      <c r="C2" s="165"/>
      <c r="D2" s="166"/>
    </row>
    <row r="3" spans="1:4" ht="18" customHeight="1" thickBot="1" x14ac:dyDescent="0.35">
      <c r="A3" s="19" t="s">
        <v>196</v>
      </c>
      <c r="B3" s="19" t="s">
        <v>197</v>
      </c>
      <c r="C3" s="214" t="s">
        <v>198</v>
      </c>
      <c r="D3" s="166"/>
    </row>
    <row r="4" spans="1:4" ht="15.75" customHeight="1" x14ac:dyDescent="0.3">
      <c r="A4" s="227" t="s">
        <v>39</v>
      </c>
      <c r="B4" s="99" t="s">
        <v>199</v>
      </c>
      <c r="C4" s="215" t="s">
        <v>200</v>
      </c>
      <c r="D4" s="216"/>
    </row>
    <row r="5" spans="1:4" ht="15" customHeight="1" x14ac:dyDescent="0.3">
      <c r="A5" s="228"/>
      <c r="B5" s="136" t="s">
        <v>201</v>
      </c>
      <c r="C5" s="225" t="s">
        <v>202</v>
      </c>
      <c r="D5" s="226"/>
    </row>
    <row r="6" spans="1:4" ht="15.75" customHeight="1" x14ac:dyDescent="0.3">
      <c r="A6" s="228"/>
      <c r="B6" s="136" t="s">
        <v>203</v>
      </c>
      <c r="C6" s="225" t="s">
        <v>204</v>
      </c>
      <c r="D6" s="226"/>
    </row>
    <row r="7" spans="1:4" ht="16.5" customHeight="1" x14ac:dyDescent="0.3">
      <c r="A7" s="228"/>
      <c r="B7" s="99" t="s">
        <v>205</v>
      </c>
      <c r="C7" s="230" t="s">
        <v>206</v>
      </c>
      <c r="D7" s="226"/>
    </row>
    <row r="8" spans="1:4" ht="15.75" customHeight="1" x14ac:dyDescent="0.3">
      <c r="A8" s="228"/>
      <c r="B8" s="137"/>
      <c r="C8" s="225"/>
      <c r="D8" s="226"/>
    </row>
    <row r="9" spans="1:4" ht="17.25" customHeight="1" thickBot="1" x14ac:dyDescent="0.35">
      <c r="A9" s="229"/>
      <c r="B9" s="138"/>
      <c r="C9" s="139"/>
      <c r="D9" s="140"/>
    </row>
    <row r="10" spans="1:4" ht="18" customHeight="1" x14ac:dyDescent="0.3">
      <c r="A10" s="221" t="s">
        <v>45</v>
      </c>
      <c r="B10" s="107" t="s">
        <v>207</v>
      </c>
      <c r="C10" s="217" t="s">
        <v>208</v>
      </c>
      <c r="D10" s="218"/>
    </row>
    <row r="11" spans="1:4" ht="18" customHeight="1" x14ac:dyDescent="0.3">
      <c r="A11" s="222"/>
      <c r="B11" s="96" t="s">
        <v>209</v>
      </c>
      <c r="C11" s="225" t="s">
        <v>210</v>
      </c>
      <c r="D11" s="226"/>
    </row>
    <row r="12" spans="1:4" ht="18" customHeight="1" thickBot="1" x14ac:dyDescent="0.35">
      <c r="A12" s="223"/>
      <c r="B12" s="141" t="s">
        <v>211</v>
      </c>
      <c r="C12" s="224" t="s">
        <v>212</v>
      </c>
      <c r="D12" s="220"/>
    </row>
    <row r="13" spans="1:4" ht="18" customHeight="1" x14ac:dyDescent="0.3">
      <c r="A13" s="227" t="s">
        <v>49</v>
      </c>
      <c r="B13" s="99" t="s">
        <v>213</v>
      </c>
      <c r="C13" s="217" t="s">
        <v>214</v>
      </c>
      <c r="D13" s="218"/>
    </row>
    <row r="14" spans="1:4" ht="15.6" customHeight="1" x14ac:dyDescent="0.3">
      <c r="A14" s="228"/>
      <c r="B14" s="142" t="s">
        <v>215</v>
      </c>
      <c r="C14" s="231" t="s">
        <v>216</v>
      </c>
      <c r="D14" s="226"/>
    </row>
    <row r="15" spans="1:4" ht="15.6" customHeight="1" x14ac:dyDescent="0.3">
      <c r="A15" s="228"/>
      <c r="B15" s="142" t="s">
        <v>217</v>
      </c>
      <c r="C15" s="231" t="s">
        <v>218</v>
      </c>
      <c r="D15" s="226"/>
    </row>
    <row r="16" spans="1:4" ht="16.2" customHeight="1" thickBot="1" x14ac:dyDescent="0.35">
      <c r="A16" s="229"/>
      <c r="B16" s="143" t="s">
        <v>219</v>
      </c>
      <c r="C16" s="219" t="s">
        <v>220</v>
      </c>
      <c r="D16" s="220"/>
    </row>
    <row r="17" spans="1:4" ht="15.6" customHeight="1" x14ac:dyDescent="0.3">
      <c r="A17" s="63"/>
      <c r="B17" s="144"/>
      <c r="C17" s="232"/>
      <c r="D17" s="212"/>
    </row>
    <row r="18" spans="1:4" x14ac:dyDescent="0.3">
      <c r="B18" s="13"/>
      <c r="C18" s="13"/>
      <c r="D18" s="13"/>
    </row>
    <row r="19" spans="1:4" x14ac:dyDescent="0.3">
      <c r="A19" s="41"/>
      <c r="B19" s="145"/>
      <c r="C19" s="145"/>
      <c r="D19" s="13"/>
    </row>
    <row r="20" spans="1:4" ht="15" customHeight="1" thickBot="1" x14ac:dyDescent="0.35">
      <c r="B20" s="13"/>
      <c r="C20" s="13"/>
      <c r="D20" s="13"/>
    </row>
    <row r="21" spans="1:4" ht="18.600000000000001" customHeight="1" thickBot="1" x14ac:dyDescent="0.35">
      <c r="B21" s="233" t="s">
        <v>221</v>
      </c>
      <c r="C21" s="197"/>
      <c r="D21" s="198"/>
    </row>
    <row r="22" spans="1:4" ht="18" customHeight="1" thickBot="1" x14ac:dyDescent="0.35">
      <c r="A22" s="19" t="s">
        <v>196</v>
      </c>
      <c r="B22" s="20" t="s">
        <v>25</v>
      </c>
      <c r="C22" s="21" t="s">
        <v>26</v>
      </c>
      <c r="D22" s="21" t="s">
        <v>27</v>
      </c>
    </row>
    <row r="23" spans="1:4" ht="15.75" customHeight="1" x14ac:dyDescent="0.3">
      <c r="A23" s="227" t="s">
        <v>39</v>
      </c>
      <c r="B23" s="107"/>
      <c r="C23" s="107"/>
      <c r="D23" s="108"/>
    </row>
    <row r="24" spans="1:4" ht="16.5" customHeight="1" x14ac:dyDescent="0.3">
      <c r="A24" s="228"/>
      <c r="B24" s="107" t="s">
        <v>222</v>
      </c>
      <c r="C24" s="97" t="s">
        <v>102</v>
      </c>
      <c r="D24" s="100" t="s">
        <v>223</v>
      </c>
    </row>
    <row r="25" spans="1:4" ht="15.75" customHeight="1" x14ac:dyDescent="0.3">
      <c r="A25" s="229"/>
      <c r="B25" s="146" t="s">
        <v>224</v>
      </c>
      <c r="C25" s="146" t="s">
        <v>127</v>
      </c>
      <c r="D25" s="147" t="s">
        <v>225</v>
      </c>
    </row>
    <row r="26" spans="1:4" ht="15.75" customHeight="1" x14ac:dyDescent="0.3">
      <c r="A26" s="221" t="s">
        <v>45</v>
      </c>
      <c r="B26" s="96"/>
      <c r="C26" s="97"/>
      <c r="D26" s="97"/>
    </row>
    <row r="27" spans="1:4" ht="15.75" customHeight="1" x14ac:dyDescent="0.3">
      <c r="A27" s="222"/>
      <c r="B27" s="100" t="s">
        <v>226</v>
      </c>
      <c r="C27" s="100" t="s">
        <v>127</v>
      </c>
      <c r="D27" s="100" t="s">
        <v>227</v>
      </c>
    </row>
    <row r="28" spans="1:4" ht="15.75" customHeight="1" x14ac:dyDescent="0.3">
      <c r="A28" s="222"/>
      <c r="B28" s="96" t="s">
        <v>228</v>
      </c>
      <c r="C28" s="97" t="s">
        <v>102</v>
      </c>
      <c r="D28" s="97" t="s">
        <v>229</v>
      </c>
    </row>
    <row r="29" spans="1:4" ht="15.75" customHeight="1" x14ac:dyDescent="0.3">
      <c r="A29" s="223"/>
      <c r="B29" s="141"/>
      <c r="C29" s="148"/>
      <c r="D29" s="149"/>
    </row>
    <row r="30" spans="1:4" ht="16.5" customHeight="1" x14ac:dyDescent="0.3">
      <c r="A30" s="221" t="s">
        <v>49</v>
      </c>
      <c r="B30" s="97" t="s">
        <v>230</v>
      </c>
      <c r="C30" s="97" t="s">
        <v>231</v>
      </c>
      <c r="D30" s="98" t="s">
        <v>232</v>
      </c>
    </row>
    <row r="31" spans="1:4" ht="15.75" customHeight="1" x14ac:dyDescent="0.3">
      <c r="A31" s="222"/>
      <c r="B31" s="96" t="s">
        <v>233</v>
      </c>
      <c r="C31" s="97" t="s">
        <v>231</v>
      </c>
      <c r="D31" s="98" t="s">
        <v>234</v>
      </c>
    </row>
    <row r="32" spans="1:4" ht="15.75" customHeight="1" x14ac:dyDescent="0.3">
      <c r="A32" s="222"/>
      <c r="B32" s="96" t="s">
        <v>235</v>
      </c>
      <c r="C32" s="97" t="s">
        <v>231</v>
      </c>
      <c r="D32" s="98" t="s">
        <v>236</v>
      </c>
    </row>
    <row r="33" spans="1:4" ht="15.75" customHeight="1" x14ac:dyDescent="0.3">
      <c r="A33" s="223"/>
      <c r="B33" s="96" t="s">
        <v>237</v>
      </c>
      <c r="C33" s="97" t="s">
        <v>231</v>
      </c>
      <c r="D33" s="98" t="s">
        <v>238</v>
      </c>
    </row>
  </sheetData>
  <mergeCells count="22">
    <mergeCell ref="A30:A33"/>
    <mergeCell ref="A23:A25"/>
    <mergeCell ref="A26:A29"/>
    <mergeCell ref="C17:D17"/>
    <mergeCell ref="B21:D21"/>
    <mergeCell ref="A10:A12"/>
    <mergeCell ref="C12:D12"/>
    <mergeCell ref="C11:D11"/>
    <mergeCell ref="C8:D8"/>
    <mergeCell ref="A13:A16"/>
    <mergeCell ref="A4:A9"/>
    <mergeCell ref="C13:D13"/>
    <mergeCell ref="C6:D6"/>
    <mergeCell ref="C15:D15"/>
    <mergeCell ref="C5:D5"/>
    <mergeCell ref="C14:D14"/>
    <mergeCell ref="C3:D3"/>
    <mergeCell ref="B2:D2"/>
    <mergeCell ref="C4:D4"/>
    <mergeCell ref="C10:D10"/>
    <mergeCell ref="C16:D16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1 - Definições Gerais</vt:lpstr>
      <vt:lpstr>2- User Stories</vt:lpstr>
      <vt:lpstr>3 -Backlog do Produto</vt:lpstr>
      <vt:lpstr>4- Sprint Planning</vt:lpstr>
      <vt:lpstr>5 -Sprint 1|2 01_06 a 26_06 </vt:lpstr>
      <vt:lpstr>6 -Retrospectiva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Rogério Costa</cp:lastModifiedBy>
  <dcterms:created xsi:type="dcterms:W3CDTF">2006-09-16T00:00:00Z</dcterms:created>
  <dcterms:modified xsi:type="dcterms:W3CDTF">2026-09-18T11:17:59Z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0x01010093CA3F1CE9ADC14A80BE03A295F23A3C</vt:lpwstr>
  </property>
</Properties>
</file>